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Ex1 - Abas" sheetId="2" state="visible" r:id="rId4"/>
    <sheet name="Ex2 - Proteger" sheetId="3" state="visible" r:id="rId5"/>
    <sheet name="Ex3 - PROCV" sheetId="4" state="visible" r:id="rId6"/>
    <sheet name="Ex4 - PROCV Pedidos" sheetId="5" state="visible" r:id="rId7"/>
    <sheet name="Ex5 - Extrair Texto" sheetId="6" state="visible" r:id="rId8"/>
    <sheet name="Ex6 - Arrumar Texto" sheetId="7" state="visible" r:id="rId9"/>
    <sheet name="Ex7 - Eixo Secundario" sheetId="8" state="visible" r:id="rId10"/>
    <sheet name="Ex8 - Dispersa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<sst xmlns="http://schemas.openxmlformats.org/spreadsheetml/2006/main" count="269" uniqueCount="214">
  <si>
    <t xml:space="preserve">  CADERNO DE EXERCÍCIOS — EXCEL 2019</t>
  </si>
  <si>
    <t xml:space="preserve">  Aulas 08, 09, 10 e 11 • nível intermediário</t>
  </si>
  <si>
    <t xml:space="preserve">O QUE VAMOS APRENDER</t>
  </si>
  <si>
    <t xml:space="preserve">Agora o Excel fica mais poderoso: organizar e proteger seu arquivo (Aula 8), BUSCAR dados automaticamente com o PROCV (Aula 9), tratar TEXTO com fórmulas (Aula 10) e montar GRÁFICOS avançados (Aula 11). Tem exercício de fazer na tela e de escrever fórmula.</t>
  </si>
  <si>
    <t xml:space="preserve">O QUE CADA EXERCÍCIO TREINA</t>
  </si>
  <si>
    <t xml:space="preserve">  Ex 1 — Organizar Abas</t>
  </si>
  <si>
    <t xml:space="preserve">Aula 8: inserir, renomear, colorir, mover e copiar planilhas</t>
  </si>
  <si>
    <t xml:space="preserve">  Ex 2 — Proteger Planilha</t>
  </si>
  <si>
    <t xml:space="preserve">Aula 8: travar células e proteger a planilha com senha</t>
  </si>
  <si>
    <t xml:space="preserve">  Ex 3 — PROCV básico</t>
  </si>
  <si>
    <t xml:space="preserve">Aula 9: buscar o nome e o preço de um produto pelo código</t>
  </si>
  <si>
    <t xml:space="preserve">  Ex 4 — PROCV nos pedidos</t>
  </si>
  <si>
    <t xml:space="preserve">Aula 9: PROCV + cálculo para montar uma nota de compra</t>
  </si>
  <si>
    <t xml:space="preserve">  Ex 5 — Extrair Texto</t>
  </si>
  <si>
    <t xml:space="preserve">Aula 10: ESQUERDA, DIREITA, EXT.TEXTO e NÚM.CARACT</t>
  </si>
  <si>
    <t xml:space="preserve">  Ex 6 — Arrumar Texto</t>
  </si>
  <si>
    <t xml:space="preserve">Aula 10: MAIÚSCULA, MINÚSCULA, PRI.MAIÚSCULA e ARRUMAR</t>
  </si>
  <si>
    <t xml:space="preserve">  Ex 7 — Eixo Secundário</t>
  </si>
  <si>
    <t xml:space="preserve">Aula 11: gráfico combinado com 2 eixos (linha + coluna)</t>
  </si>
  <si>
    <t xml:space="preserve">  Ex 8 — Gráfico de Dispersão</t>
  </si>
  <si>
    <t xml:space="preserve">Aula 11: dispersão (X × Y) e linha de tendência</t>
  </si>
  <si>
    <t xml:space="preserve">LEGENDA</t>
  </si>
  <si>
    <t xml:space="preserve">Amarelo = você preenche (resposta ou fórmula)</t>
  </si>
  <si>
    <t xml:space="preserve">Cinza = exemplo já resolvido</t>
  </si>
  <si>
    <t xml:space="preserve">Dica de PROCV: a fórmula é  =PROCV(o que buscar ; onde buscar ; qual coluna trazer ; FALSO). O FALSO no fim significa "correspondência exata" — use sempre ele!</t>
  </si>
  <si>
    <t xml:space="preserve">  EXERCÍCIO 1 — ORGANIZANDO AS ABAS</t>
  </si>
  <si>
    <t xml:space="preserve">  Aula 8: inserir, renomear, colorir e mover planilhas</t>
  </si>
  <si>
    <t xml:space="preserve">Aluno(a): ______________________________   Turma: ________   Nº: ____</t>
  </si>
  <si>
    <t xml:space="preserve">COMO FAZER:   Toda essa parte é feita nas ABAS lá embaixo (as guias das planilhas). Clique com o BOTÃO DIREITO em cima de uma aba para ver as opções (Inserir, Excluir, Renomear, Cor da Guia, Mover/Copiar).</t>
  </si>
  <si>
    <t xml:space="preserve">Faça na ordem</t>
  </si>
  <si>
    <t xml:space="preserve">1) Renomear esta aba</t>
  </si>
  <si>
    <t xml:space="preserve">Dê 2 cliques no nome desta aba (embaixo) e troque para o SEU PRIMEIRO NOME.</t>
  </si>
  <si>
    <t xml:space="preserve">2) Colorir a guia</t>
  </si>
  <si>
    <t xml:space="preserve">Botão direito na aba &gt; Cor da Guia &gt; escolha a sua cor favorita.</t>
  </si>
  <si>
    <t xml:space="preserve">3) Nova planilha</t>
  </si>
  <si>
    <t xml:space="preserve">Clique no botão + ao lado das abas (ou botão direito &gt; Inserir) e crie uma aba nova.</t>
  </si>
  <si>
    <t xml:space="preserve">4) Renomear a nova</t>
  </si>
  <si>
    <t xml:space="preserve">Nomeie a nova aba como "Contas".</t>
  </si>
  <si>
    <t xml:space="preserve">5) Mover a aba</t>
  </si>
  <si>
    <t xml:space="preserve">Arraste a aba "Contas" para que ela fique em PRIMEIRO lugar (bem à esquerda).</t>
  </si>
  <si>
    <t xml:space="preserve">6) Excluir</t>
  </si>
  <si>
    <t xml:space="preserve">Crie mais uma aba qualquer e depois exclua ela (botão direito &gt; Excluir).</t>
  </si>
  <si>
    <t xml:space="preserve">Responda</t>
  </si>
  <si>
    <t xml:space="preserve">a) Quantas abas ficaram no arquivo no final? (conte embaixo)</t>
  </si>
  <si>
    <t xml:space="preserve">2</t>
  </si>
  <si>
    <t xml:space="preserve">b) Como se chama a 1ª aba (da esquerda)?</t>
  </si>
  <si>
    <t xml:space="preserve">Contas</t>
  </si>
  <si>
    <t xml:space="preserve">c) Que ação usamos para dar 2 cliques no nome? (renomear/excluir)</t>
  </si>
  <si>
    <t xml:space="preserve">Renomear</t>
  </si>
  <si>
    <t xml:space="preserve">  EXERCÍCIO 2 — PROTEGER A PLANILHA</t>
  </si>
  <si>
    <t xml:space="preserve">  Aula 8: travar células e usar senha</t>
  </si>
  <si>
    <t xml:space="preserve">COMO FAZER:   Segurança é importante! Aqui você vai impedir que alguém estrague sua planilha por engano. As ferramentas estão na guia REVISÃO &gt; Proteger Planilha. Siga a ordem com atenção.</t>
  </si>
  <si>
    <t xml:space="preserve">Produto</t>
  </si>
  <si>
    <t xml:space="preserve">Preço (R$)</t>
  </si>
  <si>
    <t xml:space="preserve">Estoque</t>
  </si>
  <si>
    <t xml:space="preserve">Arroz</t>
  </si>
  <si>
    <t xml:space="preserve">Feijão</t>
  </si>
  <si>
    <t xml:space="preserve">Café</t>
  </si>
  <si>
    <t xml:space="preserve">Açúcar</t>
  </si>
  <si>
    <t xml:space="preserve">1) Liberar o Estoque</t>
  </si>
  <si>
    <t xml:space="preserve">Selecione a coluna Estoque &gt; botão direito &gt; Formatar Células &gt; aba Proteção &gt; DESMARQUE "Bloqueadas" &gt; OK.</t>
  </si>
  <si>
    <t xml:space="preserve">2) Proteger a planilha</t>
  </si>
  <si>
    <t xml:space="preserve">Guia REVISÃO &gt; Proteger Planilha &gt; crie a senha  aula123  &gt; OK e confirme.</t>
  </si>
  <si>
    <t xml:space="preserve">3) Testar o bloqueio</t>
  </si>
  <si>
    <t xml:space="preserve">Tente digitar em cima de um PREÇO: o Excel vai avisar que está protegido.</t>
  </si>
  <si>
    <t xml:space="preserve">4) Testar o liberado</t>
  </si>
  <si>
    <t xml:space="preserve">Agora tente mudar um número do ESTOQUE: esse você consegue, porque desbloqueou antes!</t>
  </si>
  <si>
    <t xml:space="preserve">5) Desproteger</t>
  </si>
  <si>
    <t xml:space="preserve">REVISÃO &gt; Desproteger Planilha &gt; digite  aula123 .</t>
  </si>
  <si>
    <t xml:space="preserve">a) Depois de proteger, você consegue mudar o PREÇO? (sim/não)</t>
  </si>
  <si>
    <t xml:space="preserve">Não</t>
  </si>
  <si>
    <t xml:space="preserve">b) E o ESTOQUE, consegue mudar? (sim/não)</t>
  </si>
  <si>
    <t xml:space="preserve">Sim</t>
  </si>
  <si>
    <t xml:space="preserve">c) Qual guia tem o botão "Proteger Planilha"?</t>
  </si>
  <si>
    <t xml:space="preserve">Revisão</t>
  </si>
  <si>
    <t xml:space="preserve">  EXERCÍCIO 3 — PROCV: BUSCAR PELO CÓDIGO</t>
  </si>
  <si>
    <t xml:space="preserve">  Aula 9: a função que procura sozinha</t>
  </si>
  <si>
    <t xml:space="preserve">COMO FAZER:   O PROCV procura um valor na 1ª coluna de uma tabela e traz o dado que está na mesma linha. A tabela de preços está em B9:D16. Escreva  =PROCV(célula do código ; B9:D16 ; nº da coluna ; FALSO). Coluna 2 = Nome, Coluna 3 = Preço. A 1ª resposta (cinza) já está pronta como exemplo.</t>
  </si>
  <si>
    <t xml:space="preserve">Código</t>
  </si>
  <si>
    <t xml:space="preserve">A01</t>
  </si>
  <si>
    <t xml:space="preserve">Teclado</t>
  </si>
  <si>
    <t xml:space="preserve">A02</t>
  </si>
  <si>
    <t xml:space="preserve">Mouse</t>
  </si>
  <si>
    <t xml:space="preserve">A03</t>
  </si>
  <si>
    <t xml:space="preserve">Monitor</t>
  </si>
  <si>
    <t xml:space="preserve">A04</t>
  </si>
  <si>
    <t xml:space="preserve">Webcam</t>
  </si>
  <si>
    <t xml:space="preserve">A05</t>
  </si>
  <si>
    <t xml:space="preserve">Headset</t>
  </si>
  <si>
    <t xml:space="preserve">A06</t>
  </si>
  <si>
    <t xml:space="preserve">Notebook</t>
  </si>
  <si>
    <t xml:space="preserve">A07</t>
  </si>
  <si>
    <t xml:space="preserve">Impressora</t>
  </si>
  <si>
    <t xml:space="preserve">A08</t>
  </si>
  <si>
    <t xml:space="preserve">Pendrive</t>
  </si>
  <si>
    <t xml:space="preserve">Use o PROCV para preencher (amarelo)</t>
  </si>
  <si>
    <t xml:space="preserve">Código buscado</t>
  </si>
  <si>
    <t xml:space="preserve">Nome (col 2)</t>
  </si>
  <si>
    <t xml:space="preserve">Preço (col 3)</t>
  </si>
  <si>
    <t xml:space="preserve">Confira sua resposta</t>
  </si>
  <si>
    <t xml:space="preserve">a) Que produto o PROCV trouxe para o código A06?</t>
  </si>
  <si>
    <t xml:space="preserve">b) Qual o preço do A01? (R$)</t>
  </si>
  <si>
    <t xml:space="preserve">c) Qual produto é o código A08?</t>
  </si>
  <si>
    <t xml:space="preserve">  EXERCÍCIO 4 — NOTA DE COMPRA COM PROCV</t>
  </si>
  <si>
    <t xml:space="preserve">  Aula 9: PROCV + cálculo juntos</t>
  </si>
  <si>
    <t xml:space="preserve">COMO FAZER:   Aqui o PROCV busca o Nome e o Preço na tabela do Exercício 3 (na aba "Ex3 - PROCV"). Depois é só multiplicar Preço × Qtd para achar o Subtotal. Complete as colunas amarelas.</t>
  </si>
  <si>
    <t xml:space="preserve">Tabela de preços (referência):</t>
  </si>
  <si>
    <t xml:space="preserve">Cód</t>
  </si>
  <si>
    <t xml:space="preserve">Pedido do cliente — complete com PROCV e multiplicação</t>
  </si>
  <si>
    <t xml:space="preserve">Preço</t>
  </si>
  <si>
    <t xml:space="preserve">Qtd</t>
  </si>
  <si>
    <t xml:space="preserve">Subtotal</t>
  </si>
  <si>
    <t xml:space="preserve">TOTAL DO PEDIDO (R$)  =SOMA(Subtotais)</t>
  </si>
  <si>
    <t xml:space="preserve">Confira</t>
  </si>
  <si>
    <t xml:space="preserve">a) Qual o produto mais caro do pedido?</t>
  </si>
  <si>
    <t xml:space="preserve">b) Quantos itens no total (soma das Qtd)?</t>
  </si>
  <si>
    <t xml:space="preserve">c) Qual o TOTAL do pedido? (R$)</t>
  </si>
  <si>
    <t xml:space="preserve">  EXERCÍCIO 5 — EXTRAIR PARTES DO TEXTO</t>
  </si>
  <si>
    <t xml:space="preserve">  Aula 10: ESQUERDA, DIREITA, NÚM.CARACT</t>
  </si>
  <si>
    <t xml:space="preserve">COMO FAZER:   Cada função pega um pedaço do texto:  =ESQUERDA(texto;n) pega n letras do começo;  =DIREITA(texto;n) pega n letras do fim;  =NÚM.CARACT(texto) conta quantas letras tem. Complete a coluna amarela (a 1ª linha é exemplo).</t>
  </si>
  <si>
    <t xml:space="preserve">Nome</t>
  </si>
  <si>
    <t xml:space="preserve">Sobrenome</t>
  </si>
  <si>
    <t xml:space="preserve">E-mail</t>
  </si>
  <si>
    <t xml:space="preserve">Matrícula</t>
  </si>
  <si>
    <t xml:space="preserve">Nº de letras do Nome</t>
  </si>
  <si>
    <t xml:space="preserve">MARIA</t>
  </si>
  <si>
    <t xml:space="preserve">Silva</t>
  </si>
  <si>
    <t xml:space="preserve">maria.silva@escola.br</t>
  </si>
  <si>
    <t xml:space="preserve">2024001</t>
  </si>
  <si>
    <t xml:space="preserve">joão</t>
  </si>
  <si>
    <t xml:space="preserve">Souza</t>
  </si>
  <si>
    <t xml:space="preserve">joao.souza@escola.br</t>
  </si>
  <si>
    <t xml:space="preserve">2024002</t>
  </si>
  <si>
    <t xml:space="preserve">Ana</t>
  </si>
  <si>
    <t xml:space="preserve">Costa</t>
  </si>
  <si>
    <t xml:space="preserve">ana.costa@escola.br</t>
  </si>
  <si>
    <t xml:space="preserve">2024003</t>
  </si>
  <si>
    <t xml:space="preserve">PEDRO</t>
  </si>
  <si>
    <t xml:space="preserve">Lima</t>
  </si>
  <si>
    <t xml:space="preserve">pedro.lima@escola.br</t>
  </si>
  <si>
    <t xml:space="preserve">2024004</t>
  </si>
  <si>
    <t xml:space="preserve">Lucas</t>
  </si>
  <si>
    <t xml:space="preserve">Alves</t>
  </si>
  <si>
    <t xml:space="preserve">lucas.alves@escola.br</t>
  </si>
  <si>
    <t xml:space="preserve">2024005</t>
  </si>
  <si>
    <t xml:space="preserve">bianca</t>
  </si>
  <si>
    <t xml:space="preserve">Rocha</t>
  </si>
  <si>
    <t xml:space="preserve">bianca.rocha@escola.br</t>
  </si>
  <si>
    <t xml:space="preserve">2024006</t>
  </si>
  <si>
    <t xml:space="preserve">Agora extraia (amarelo)</t>
  </si>
  <si>
    <t xml:space="preserve">Fonte</t>
  </si>
  <si>
    <t xml:space="preserve">O que extrair</t>
  </si>
  <si>
    <t xml:space="preserve">Sua fórmula (dica)</t>
  </si>
  <si>
    <t xml:space="preserve">Resultado</t>
  </si>
  <si>
    <t xml:space="preserve">Matrícula E7</t>
  </si>
  <si>
    <t xml:space="preserve">O ANO (4 da esquerda)</t>
  </si>
  <si>
    <t xml:space="preserve">dica: =ESQUERDA(E7;4)</t>
  </si>
  <si>
    <t xml:space="preserve">O Nº final (3 da direita)</t>
  </si>
  <si>
    <t xml:space="preserve">dica: =DIREITA(E7;3)</t>
  </si>
  <si>
    <t xml:space="preserve">Nome B7</t>
  </si>
  <si>
    <t xml:space="preserve">Quantas letras tem</t>
  </si>
  <si>
    <t xml:space="preserve">dica: =NÚM.CARACT(B7)</t>
  </si>
  <si>
    <t xml:space="preserve">a) Quantas letras tem o nome MARIA?</t>
  </si>
  <si>
    <t xml:space="preserve">5</t>
  </si>
  <si>
    <t xml:space="preserve">b) O ANO extraído da matrícula 2024001 é:</t>
  </si>
  <si>
    <t xml:space="preserve">2024</t>
  </si>
  <si>
    <t xml:space="preserve">c) Os 3 números finais de 2024001 são:</t>
  </si>
  <si>
    <t xml:space="preserve">001</t>
  </si>
  <si>
    <t xml:space="preserve">  EXERCÍCIO 6 — ARRUMAR TEXTO BAGUNÇADO</t>
  </si>
  <si>
    <t xml:space="preserve">  Aula 10: MAIÚSCULA, MINÚSCULA, PRI.MAIÚSCULA</t>
  </si>
  <si>
    <t xml:space="preserve">COMO FAZER:   Os nomes foram digitados de qualquer jeito (uns em maiúscula, outros minúscula). Conserte com: =MAIÚSCULA(texto) deixa TUDO maiúsculo;  =MINÚSCULA(texto) deixa tudo minúsculo;  =PRI.MAIÚSCULA(texto) deixa Só A Primeira Letra De Cada Palavra. Complete o amarelo.</t>
  </si>
  <si>
    <t xml:space="preserve">Nome (bagunçado)</t>
  </si>
  <si>
    <t xml:space="preserve">TUDO MAIÚSCULO</t>
  </si>
  <si>
    <t xml:space="preserve">tudo minúsculo</t>
  </si>
  <si>
    <t xml:space="preserve">Primeira Maiúscula</t>
  </si>
  <si>
    <t xml:space="preserve">a) "maria" em MAIÚSCULA fica:</t>
  </si>
  <si>
    <t xml:space="preserve">b) "joão" com Primeira Maiúscula fica:</t>
  </si>
  <si>
    <t xml:space="preserve">João</t>
  </si>
  <si>
    <t xml:space="preserve">c) Qual função deixa tudo minúsculo?</t>
  </si>
  <si>
    <t xml:space="preserve">MINÚSCULA</t>
  </si>
  <si>
    <t xml:space="preserve">  EXERCÍCIO 7 — GRÁFICO COM 2 EIXOS</t>
  </si>
  <si>
    <t xml:space="preserve">  Aula 11: juntar dados de escalas diferentes</t>
  </si>
  <si>
    <t xml:space="preserve">COMO FAZER:   Problema: Temperatura (uns 30°) e Sorvetes vendidos (uns 500) têm tamanhos MUITO diferentes. Num gráfico só, um some. A solução é o EIXO SECUNDÁRIO.   1) Selecione a tabela e crie um gráfico de Colunas.   2) Clique na série "Temperatura" (a bem baixinha) &gt; botão direito &gt; Formatar Série de Dados &gt; marque "Eixo Secundário".   3) Ainda nela: botão direito &gt; Alterar Tipo de Gráfico da Série &gt; Linha. Pronto: colunas de sorvete + linha de temperatura.</t>
  </si>
  <si>
    <t xml:space="preserve">Mês</t>
  </si>
  <si>
    <t xml:space="preserve">Temperatura (°C)</t>
  </si>
  <si>
    <t xml:space="preserve">Sorvetes vendidos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</si>
  <si>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</si>
  <si>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</si>
  <si>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</si>
  <si>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</si>
  <si>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</si>
  <si>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</si>
  <si>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</si>
  <si>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</si>
  <si>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</si>
  <si>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</si>
  <si>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</si>
  <si>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</si>
  <si>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Leia o gráfico e responda</t>
  </si>
  <si>
    <t xml:space="preserve">a) Quando a temperatura sobe, a venda de sorvete sobe ou desce?</t>
  </si>
  <si>
    <t xml:space="preserve">Sobe</t>
  </si>
  <si>
    <t xml:space="preserve">b) Em qual mês vendeu MAIS sorvete?</t>
  </si>
  <si>
    <t xml:space="preserve">c) Em qual mês a temperatura foi a MENOR?</t>
  </si>
  <si>
    <t xml:space="preserve">  EXERCÍCIO 8 — GRÁFICO DE DISPERSÃO</t>
  </si>
  <si>
    <t xml:space="preserve">  Aula 11: relação entre duas coisas (X × Y)</t>
  </si>
  <si>
    <t xml:space="preserve">COMO FAZER:   A dispersão mostra se duas coisas TÊM RELAÇÃO. Aqui: horas de estudo (X) e nota na prova (Y). Cada aluno vira um pontinho.   1) Selecione as duas colunas de números.   2) INSERIR &gt; Gráficos &gt; Dispersão (o primeiro).   3) Botão direito num ponto &gt; Adicionar Linha de Tendência (mostra o rumo geral).</t>
  </si>
  <si>
    <t xml:space="preserve">Horas de estudo</t>
  </si>
  <si>
    <t xml:space="preserve">Nota na prova</t>
  </si>
  <si>
    <t xml:space="preserve">Analise a nuvem de pontos e responda</t>
  </si>
  <si>
    <t xml:space="preserve">a) Os pontos sobem da esquerda p/ direita ou descem?</t>
  </si>
  <si>
    <t xml:space="preserve">Sobem</t>
  </si>
  <si>
    <t xml:space="preserve">b) Então a relação é POSITIVA ou NEGATIVA?</t>
  </si>
  <si>
    <t xml:space="preserve">Positiva</t>
  </si>
  <si>
    <t xml:space="preserve">c) Quem estuda mais tende a tirar nota maior? (sim/não)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</si>
</sst>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[$R$-416]\ #,##0.00"/>
    <numFmt numFmtId="168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A61C1C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203864"/>
      <name val="Arial"/>
      <family val="0"/>
      <charset val="1"/>
    </font>
    <font>
      <b val="true"/>
      <sz val="12"/>
      <color rgb="FF203864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2"/>
      <color rgb="FF0E7C7B"/>
      <name val="Arial"/>
      <family val="0"/>
      <charset val="1"/>
    </font>
    <font>
      <b val="true"/>
      <sz val="12"/>
      <color rgb="FF4A148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5B2C86"/>
      <name val="Arial"/>
      <family val="0"/>
      <charset val="1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ED7D31"/>
        <bgColor rgb="FFC55A11"/>
      </patternFill>
    </fill>
    <fill>
      <patternFill patternType="solid">
        <fgColor rgb="FFC00000"/>
        <bgColor rgb="FFA61C1C"/>
      </patternFill>
    </fill>
    <fill>
      <patternFill patternType="solid">
        <fgColor rgb="FF2E75B6"/>
        <bgColor rgb="FF4F81BD"/>
      </patternFill>
    </fill>
    <fill>
      <patternFill patternType="solid">
        <fgColor rgb="FF305496"/>
        <bgColor rgb="FF1F4E78"/>
      </patternFill>
    </fill>
    <fill>
      <patternFill patternType="solid">
        <fgColor rgb="FF548235"/>
        <bgColor rgb="FF7F7F7F"/>
      </patternFill>
    </fill>
    <fill>
      <patternFill patternType="solid">
        <fgColor rgb="FF17A2B8"/>
        <bgColor rgb="FF0E7C7B"/>
      </patternFill>
    </fill>
    <fill>
      <patternFill patternType="solid">
        <fgColor rgb="FF7B1FA2"/>
        <bgColor rgb="FF5B2C86"/>
      </patternFill>
    </fill>
    <fill>
      <patternFill patternType="solid">
        <fgColor rgb="FF8E44AD"/>
        <bgColor rgb="FF7B1FA2"/>
      </patternFill>
    </fill>
    <fill>
      <patternFill patternType="solid">
        <fgColor rgb="FFFFF4CE"/>
        <bgColor rgb="FFFDF0E6"/>
      </patternFill>
    </fill>
    <fill>
      <patternFill patternType="solid">
        <fgColor rgb="FFEAF2FB"/>
        <bgColor rgb="FFEEF1F7"/>
      </patternFill>
    </fill>
    <fill>
      <patternFill patternType="solid">
        <fgColor rgb="FFC55A11"/>
        <bgColor rgb="FFED7D31"/>
      </patternFill>
    </fill>
    <fill>
      <patternFill patternType="solid">
        <fgColor rgb="FFFDF0E6"/>
        <bgColor rgb="FFFCF0F0"/>
      </patternFill>
    </fill>
    <fill>
      <patternFill patternType="solid">
        <fgColor rgb="FFFCE4D6"/>
        <bgColor rgb="FFFBDDDD"/>
      </patternFill>
    </fill>
    <fill>
      <patternFill patternType="solid">
        <fgColor rgb="FF7F0000"/>
        <bgColor rgb="FFA61C1C"/>
      </patternFill>
    </fill>
    <fill>
      <patternFill patternType="solid">
        <fgColor rgb="FFFCF0F0"/>
        <bgColor rgb="FFFDF0E6"/>
      </patternFill>
    </fill>
    <fill>
      <patternFill patternType="solid">
        <fgColor rgb="FFFBEAEA"/>
        <bgColor rgb="FFFDF0E6"/>
      </patternFill>
    </fill>
    <fill>
      <patternFill patternType="solid">
        <fgColor rgb="FFFBDDDD"/>
        <bgColor rgb="FFFCE4D6"/>
      </patternFill>
    </fill>
    <fill>
      <patternFill patternType="solid">
        <fgColor rgb="FF1F4E78"/>
        <bgColor rgb="FF305496"/>
      </patternFill>
    </fill>
    <fill>
      <patternFill patternType="solid">
        <fgColor rgb="FFEEF5FC"/>
        <bgColor rgb="FFEAF2FB"/>
      </patternFill>
    </fill>
    <fill>
      <patternFill patternType="solid">
        <fgColor rgb="FFDEEBF7"/>
        <bgColor rgb="FFE9EDF4"/>
      </patternFill>
    </fill>
    <fill>
      <patternFill patternType="solid">
        <fgColor rgb="FF203864"/>
        <bgColor rgb="FF1F3864"/>
      </patternFill>
    </fill>
    <fill>
      <patternFill patternType="solid">
        <fgColor rgb="FFEEF1F7"/>
        <bgColor rgb="FFEAF2FB"/>
      </patternFill>
    </fill>
    <fill>
      <patternFill patternType="solid">
        <fgColor rgb="FFE9EDF4"/>
        <bgColor rgb="FFEEF1F7"/>
      </patternFill>
    </fill>
    <fill>
      <patternFill patternType="solid">
        <fgColor rgb="FFD6DCE9"/>
        <bgColor rgb="FFD9D9D9"/>
      </patternFill>
    </fill>
    <fill>
      <patternFill patternType="solid">
        <fgColor rgb="FF375623"/>
        <bgColor rgb="FF2E4419"/>
      </patternFill>
    </fill>
    <fill>
      <patternFill patternType="solid">
        <fgColor rgb="FFF0F7EA"/>
        <bgColor rgb="FFEDF4E6"/>
      </patternFill>
    </fill>
    <fill>
      <patternFill patternType="solid">
        <fgColor rgb="FFEDF4E6"/>
        <bgColor rgb="FFF0F7EA"/>
      </patternFill>
    </fill>
    <fill>
      <patternFill patternType="solid">
        <fgColor rgb="FFE2EFDA"/>
        <bgColor rgb="FFEDF4E6"/>
      </patternFill>
    </fill>
    <fill>
      <patternFill patternType="solid">
        <fgColor rgb="FF1E6B5E"/>
        <bgColor rgb="FF0B5D5C"/>
      </patternFill>
    </fill>
    <fill>
      <patternFill patternType="solid">
        <fgColor rgb="FFEDF9F8"/>
        <bgColor rgb="FFEEF5FC"/>
      </patternFill>
    </fill>
    <fill>
      <patternFill patternType="solid">
        <fgColor rgb="FFE6F7F5"/>
        <bgColor rgb="FFEDF9F8"/>
      </patternFill>
    </fill>
    <fill>
      <patternFill patternType="solid">
        <fgColor rgb="FFD6F1EF"/>
        <bgColor rgb="FFDEEBF7"/>
      </patternFill>
    </fill>
    <fill>
      <patternFill patternType="solid">
        <fgColor rgb="FF4A148C"/>
        <bgColor rgb="FF5B2C86"/>
      </patternFill>
    </fill>
    <fill>
      <patternFill patternType="solid">
        <fgColor rgb="FFF7F1FB"/>
        <bgColor rgb="FFF5F0FA"/>
      </patternFill>
    </fill>
    <fill>
      <patternFill patternType="solid">
        <fgColor rgb="FFF4EDF9"/>
        <bgColor rgb="FFF2ECF9"/>
      </patternFill>
    </fill>
    <fill>
      <patternFill patternType="solid">
        <fgColor rgb="FFECE0F4"/>
        <bgColor rgb="FFE8E0F2"/>
      </patternFill>
    </fill>
    <fill>
      <patternFill patternType="solid">
        <fgColor rgb="FF5B2C86"/>
        <bgColor rgb="FF4A148C"/>
      </patternFill>
    </fill>
    <fill>
      <patternFill patternType="solid">
        <fgColor rgb="FFF5F0FA"/>
        <bgColor rgb="FFF7F1FB"/>
      </patternFill>
    </fill>
    <fill>
      <patternFill patternType="solid">
        <fgColor rgb="FFF2ECF9"/>
        <bgColor rgb="FFF4EDF9"/>
      </patternFill>
    </fill>
    <fill>
      <patternFill patternType="solid">
        <fgColor rgb="FFE8E0F2"/>
        <bgColor rgb="FFECE0F4"/>
      </patternFill>
    </fill>
  </fills>
  <borders count="6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D9C97A"/>
      </left>
      <right style="medium">
        <color rgb="FFD9C97A"/>
      </right>
      <top style="medium">
        <color rgb="FFD9C97A"/>
      </top>
      <bottom style="medium">
        <color rgb="FFD9C97A"/>
      </bottom>
      <diagonal/>
    </border>
    <border diagonalUp="false" diagonalDown="false"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 diagonalUp="false" diagonalDown="false"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 diagonalUp="false" diagonalDown="false"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 diagonalUp="false" diagonalDown="false"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 diagonalUp="false" diagonalDown="false"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 diagonalUp="false" diagonalDown="false"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 diagonalUp="false" diagonalDown="false"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 diagonalUp="false" diagonalDown="false"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 diagonalUp="false" diagonalDown="false"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 diagonalUp="false" diagonalDown="false"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 diagonalUp="false" diagonalDown="false"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 diagonalUp="false" diagonalDown="false"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 diagonalUp="false" diagonalDown="false"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 diagonalUp="false" diagonalDown="false"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 diagonalUp="false" diagonalDown="false"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 diagonalUp="false" diagonalDown="false"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 diagonalUp="false" diagonalDown="false"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 diagonalUp="false" diagonalDown="false"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  <border diagonalUp="false" diagonalDown="false"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 diagonalUp="false" diagonalDown="false"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 diagonalUp="false" diagonalDown="false"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 diagonalUp="false" diagonalDown="false"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 diagonalUp="false" diagonalDown="false"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 diagonalUp="false" diagonalDown="false"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2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2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5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5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5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6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6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6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2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29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9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9" borderId="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3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3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4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3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4" borderId="4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4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5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7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7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8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8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8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1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2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2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EEF5FC"/>
      <rgbColor rgb="FFF7F1FB"/>
      <rgbColor rgb="FFEDF4E6"/>
      <rgbColor rgb="FFF2ECF9"/>
      <rgbColor rgb="FFEAF2FB"/>
      <rgbColor rgb="FF7F0000"/>
      <rgbColor rgb="FF0B5D5C"/>
      <rgbColor rgb="FF16264A"/>
      <rgbColor rgb="FF548235"/>
      <rgbColor rgb="FF7B1FA2"/>
      <rgbColor rgb="FF0E7C7B"/>
      <rgbColor rgb="FFBFBFBF"/>
      <rgbColor rgb="FF7F7F7F"/>
      <rgbColor rgb="FFECE0F4"/>
      <rgbColor rgb="FF8E44AD"/>
      <rgbColor rgb="FFFFF4CE"/>
      <rgbColor rgb="FFD6F1EF"/>
      <rgbColor rgb="FF4A148C"/>
      <rgbColor rgb="FFC55A11"/>
      <rgbColor rgb="FF305496"/>
      <rgbColor rgb="FFD6DCE9"/>
      <rgbColor rgb="FF1F4E78"/>
      <rgbColor rgb="FFF4EDF9"/>
      <rgbColor rgb="FFF0F7EA"/>
      <rgbColor rgb="FFEDF9F8"/>
      <rgbColor rgb="FFF5F0FA"/>
      <rgbColor rgb="FF375623"/>
      <rgbColor rgb="FF1E6B5E"/>
      <rgbColor rgb="FFFCF0F0"/>
      <rgbColor rgb="FFEEF1F7"/>
      <rgbColor rgb="FFE6F7F5"/>
      <rgbColor rgb="FFE2EFDA"/>
      <rgbColor rgb="FFFDF0E6"/>
      <rgbColor rgb="FFD9D9D9"/>
      <rgbColor rgb="FFFBDDDD"/>
      <rgbColor rgb="FFE8E0F2"/>
      <rgbColor rgb="FFD9C97A"/>
      <rgbColor rgb="FF2E75B6"/>
      <rgbColor rgb="FFE9EDF4"/>
      <rgbColor rgb="FFDEEBF7"/>
      <rgbColor rgb="FFFCE4D6"/>
      <rgbColor rgb="FFFBEAEA"/>
      <rgbColor rgb="FFED7D31"/>
      <rgbColor rgb="FF4F81BD"/>
      <rgbColor rgb="FF878787"/>
      <rgbColor rgb="FF1F3864"/>
      <rgbColor rgb="FF17A2B8"/>
      <rgbColor rgb="FF1E1E30"/>
      <rgbColor rgb="FF2E4419"/>
      <rgbColor rgb="FF843C0C"/>
      <rgbColor rgb="FFA61C1C"/>
      <rgbColor rgb="FF5B2C86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x Venda de Sorvetes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'Ex7 - Eixo Secundario'!D10</c:f>
              <c:strCache>
                <c:ptCount val="1"/>
                <c:pt idx="0">
                  <c:v>Sorvetes vendidos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'Ex7 - Eixo Secundario'!$B$11:$B$22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'Ex7 - Eixo Secundario'!$D$11:$D$22</c:f>
              <c:numCache>
                <c:formatCode>General</c:formatCode>
                <c:ptCount val="12"/>
                <c:pt idx="0">
                  <c:v>480</c:v>
                </c:pt>
                <c:pt idx="1">
                  <c:v>510</c:v>
                </c:pt>
                <c:pt idx="2">
                  <c:v>430</c:v>
                </c:pt>
                <c:pt idx="3">
                  <c:v>350</c:v>
                </c:pt>
                <c:pt idx="4">
                  <c:v>260</c:v>
                </c:pt>
                <c:pt idx="5">
                  <c:v>180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  <c:pt idx="9">
                  <c:v>380</c:v>
                </c:pt>
                <c:pt idx="10">
                  <c:v>450</c:v>
                </c:pt>
                <c:pt idx="11">
                  <c:v>520</c:v>
                </c:pt>
              </c:numCache>
            </c:numRef>
          </c:val>
        </c:ser>
        <c:gapWidth val="150"/>
        <c:overlap val="0"/>
        <c:axId val="12449169"/>
        <c:axId val="39668558"/>
      </c:barChart>
      <c:lineChart>
        <c:grouping val="standard"/>
        <c:varyColors val="0"/>
        <c:ser>
          <c:idx val="1"/>
          <c:order val="1"/>
          <c:tx>
            <c:strRef>
              <c:f>'Ex7 - Eixo Secundario'!C10</c:f>
              <c:strCache>
                <c:ptCount val="1"/>
                <c:pt idx="0">
                  <c:v>Temperatura (°C)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'Ex7 - Eixo Secundario'!$B$11:$B$22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'Ex7 - Eixo Secundario'!$C$11:$C$22</c:f>
              <c:numCache>
                <c:formatCode>General</c:formatCode>
                <c:ptCount val="12"/>
                <c:pt idx="0">
                  <c:v>32</c:v>
                </c:pt>
                <c:pt idx="1">
                  <c:v>33</c:v>
                </c:pt>
                <c:pt idx="2">
                  <c:v>30</c:v>
                </c:pt>
                <c:pt idx="3">
                  <c:v>27</c:v>
                </c:pt>
                <c:pt idx="4">
                  <c:v>24</c:v>
                </c:pt>
                <c:pt idx="5">
                  <c:v>21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02752"/>
        <c:axId val="88994666"/>
      </c:lineChart>
      <c:catAx>
        <c:axId val="12449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68558"/>
        <c:crosses val="autoZero"/>
        <c:auto val="1"/>
        <c:lblAlgn val="ctr"/>
        <c:lblOffset val="100"/>
        <c:noMultiLvlLbl val="0"/>
      </c:catAx>
      <c:valAx>
        <c:axId val="396685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Sorvetes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49169"/>
        <c:crosses val="autoZero"/>
        <c:crossBetween val="between"/>
      </c:valAx>
      <c:catAx>
        <c:axId val="10502752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94666"/>
        <c:crosses val="autoZero"/>
        <c:auto val="1"/>
        <c:lblAlgn val="ctr"/>
        <c:lblOffset val="100"/>
        <c:noMultiLvlLbl val="0"/>
      </c:catAx>
      <c:valAx>
        <c:axId val="8899466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02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de Estudo x Nota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"Alunos"</c:f>
              <c:strCache>
                <c:ptCount val="1"/>
                <c:pt idx="0">
                  <c:v>Alunos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'Ex8 - Dispersao'!$B$10:$B$19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xVal>
          <c:yVal>
            <c:numRef>
              <c:f>'Ex8 - Dispersao'!$C$10:$C$19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9.5</c:v>
                </c:pt>
              </c:numCache>
            </c:numRef>
          </c:yVal>
          <c:smooth val="1"/>
        </c:ser>
        <c:axId val="96050662"/>
        <c:axId val="41953237"/>
      </c:scatterChart>
      <c:valAx>
        <c:axId val="960506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de estudo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53237"/>
        <c:crosses val="autoZero"/>
        <c:crossBetween val="midCat"/>
      </c:valAx>
      <c:valAx>
        <c:axId val="41953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5066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28</xdr:row>
      <xdr:rowOff>0</xdr:rowOff>
    </xdr:from>
    <xdr:to>
      <xdr:col>6</xdr:col>
      <xdr:colOff>825480</xdr:colOff>
      <xdr:row>43</xdr:row>
      <xdr:rowOff>22320</xdr:rowOff>
    </xdr:to>
    <xdr:graphicFrame>
      <xdr:nvGraphicFramePr>
        <xdr:cNvPr id="0" name="Chart 1"/>
        <xdr:cNvGraphicFramePr/>
      </xdr:nvGraphicFramePr>
      <xdr:xfrm>
        <a:off x="211320" y="5877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747360</xdr:colOff>
      <xdr:row>42</xdr:row>
      <xdr:rowOff>1080</xdr:rowOff>
    </xdr:to>
    <xdr:graphicFrame>
      <xdr:nvGraphicFramePr>
        <xdr:cNvPr id="1" name="Chart 1"/>
        <xdr:cNvGraphicFramePr/>
      </xdr:nvGraphicFramePr>
      <xdr:xfrm>
        <a:off x="211320" y="53053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2"/>
  </cols>
  <sheetData>
    <row r="2" customFormat="false" ht="30" hidden="false" customHeight="true" outlineLevel="0" collapsed="false">
      <c r="B2" s="1" t="s">
        <v>0</v>
      </c>
      <c r="C2" s="1"/>
    </row>
    <row r="3" customFormat="false" ht="15.75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/>
    </row>
    <row r="6" customFormat="false" ht="19.5" hidden="false" customHeight="true" outlineLevel="0" collapsed="false">
      <c r="B6" s="4" t="s">
        <v>2</v>
      </c>
      <c r="C6" s="4"/>
    </row>
    <row r="7" customFormat="false" ht="48" hidden="false" customHeight="true" outlineLevel="0" collapsed="false">
      <c r="C7" s="5" t="s">
        <v>3</v>
      </c>
    </row>
    <row r="9" customFormat="false" ht="19.5" hidden="false" customHeight="true" outlineLevel="0" collapsed="false">
      <c r="B9" s="4" t="s">
        <v>4</v>
      </c>
      <c r="C9" s="4"/>
    </row>
    <row r="10" customFormat="false" ht="30" hidden="false" customHeight="true" outlineLevel="0" collapsed="false">
      <c r="B10" s="6" t="s">
        <v>5</v>
      </c>
      <c r="C10" s="7" t="s">
        <v>6</v>
      </c>
    </row>
    <row r="11" customFormat="false" ht="30" hidden="false" customHeight="true" outlineLevel="0" collapsed="false">
      <c r="B11" s="8" t="s">
        <v>7</v>
      </c>
      <c r="C11" s="7" t="s">
        <v>8</v>
      </c>
    </row>
    <row r="12" customFormat="false" ht="30" hidden="false" customHeight="true" outlineLevel="0" collapsed="false">
      <c r="B12" s="9" t="s">
        <v>9</v>
      </c>
      <c r="C12" s="7" t="s">
        <v>10</v>
      </c>
    </row>
    <row r="13" customFormat="false" ht="30" hidden="false" customHeight="true" outlineLevel="0" collapsed="false">
      <c r="B13" s="10" t="s">
        <v>11</v>
      </c>
      <c r="C13" s="7" t="s">
        <v>12</v>
      </c>
    </row>
    <row r="14" customFormat="false" ht="30" hidden="false" customHeight="true" outlineLevel="0" collapsed="false">
      <c r="B14" s="11" t="s">
        <v>13</v>
      </c>
      <c r="C14" s="7" t="s">
        <v>14</v>
      </c>
    </row>
    <row r="15" customFormat="false" ht="30" hidden="false" customHeight="true" outlineLevel="0" collapsed="false">
      <c r="B15" s="12" t="s">
        <v>15</v>
      </c>
      <c r="C15" s="7" t="s">
        <v>16</v>
      </c>
    </row>
    <row r="16" customFormat="false" ht="30" hidden="false" customHeight="true" outlineLevel="0" collapsed="false">
      <c r="B16" s="13" t="s">
        <v>17</v>
      </c>
      <c r="C16" s="7" t="s">
        <v>18</v>
      </c>
    </row>
    <row r="17" customFormat="false" ht="30" hidden="false" customHeight="true" outlineLevel="0" collapsed="false">
      <c r="B17" s="14" t="s">
        <v>19</v>
      </c>
      <c r="C17" s="7" t="s">
        <v>20</v>
      </c>
    </row>
    <row r="19" customFormat="false" ht="15" hidden="false" customHeight="false" outlineLevel="0" collapsed="false">
      <c r="B19" s="4" t="s">
        <v>21</v>
      </c>
      <c r="C19" s="4"/>
    </row>
    <row r="20" customFormat="false" ht="15" hidden="false" customHeight="false" outlineLevel="0" collapsed="false">
      <c r="C20" s="15" t="s">
        <v>22</v>
      </c>
    </row>
    <row r="21" customFormat="false" ht="15" hidden="false" customHeight="false" outlineLevel="0" collapsed="false">
      <c r="C21" s="16" t="s">
        <v>23</v>
      </c>
    </row>
    <row r="23" customFormat="false" ht="31.5" hidden="false" customHeight="true" outlineLevel="0" collapsed="false">
      <c r="C23" s="17" t="s">
        <v>24</v>
      </c>
    </row>
  </sheetData>
  <mergeCells count="5">
    <mergeCell ref="B2:C2"/>
    <mergeCell ref="B3:C3"/>
    <mergeCell ref="B6:C6"/>
    <mergeCell ref="B9:C9"/>
    <mergeCell ref="B19:C1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3"/>
  </cols>
  <sheetData>
    <row r="2" customFormat="false" ht="30" hidden="false" customHeight="true" outlineLevel="0" collapsed="false">
      <c r="B2" s="18" t="s">
        <v>25</v>
      </c>
      <c r="C2" s="18"/>
      <c r="D2" s="18"/>
      <c r="E2" s="18"/>
      <c r="F2" s="18"/>
      <c r="G2" s="18"/>
      <c r="H2" s="18"/>
    </row>
    <row r="3" customFormat="false" ht="15.75" hidden="false" customHeight="true" outlineLevel="0" collapsed="false">
      <c r="B3" s="19" t="s">
        <v>26</v>
      </c>
      <c r="C3" s="19"/>
      <c r="D3" s="19"/>
      <c r="E3" s="19"/>
      <c r="F3" s="19"/>
      <c r="G3" s="19"/>
      <c r="H3" s="19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20" t="s">
        <v>28</v>
      </c>
      <c r="C6" s="20"/>
      <c r="D6" s="20"/>
      <c r="E6" s="20"/>
      <c r="F6" s="20"/>
      <c r="G6" s="20"/>
      <c r="H6" s="20"/>
    </row>
    <row r="7" customFormat="false" ht="15" hidden="false" customHeight="true" outlineLevel="0" collapsed="false">
      <c r="B7" s="20"/>
      <c r="C7" s="20"/>
      <c r="D7" s="20"/>
      <c r="E7" s="20"/>
      <c r="F7" s="20"/>
      <c r="G7" s="20"/>
      <c r="H7" s="20"/>
    </row>
    <row r="8" customFormat="false" ht="21.75" hidden="false" customHeight="true" outlineLevel="0" collapsed="false">
      <c r="B8" s="21" t="s">
        <v>29</v>
      </c>
    </row>
    <row r="9" customFormat="false" ht="27.75" hidden="false" customHeight="true" outlineLevel="0" collapsed="false">
      <c r="B9" s="22" t="s">
        <v>30</v>
      </c>
      <c r="C9" s="22"/>
      <c r="D9" s="23" t="s">
        <v>31</v>
      </c>
      <c r="E9" s="23"/>
      <c r="F9" s="23"/>
      <c r="G9" s="23"/>
      <c r="H9" s="23"/>
    </row>
    <row r="10" customFormat="false" ht="27.75" hidden="false" customHeight="true" outlineLevel="0" collapsed="false">
      <c r="B10" s="24" t="s">
        <v>32</v>
      </c>
      <c r="C10" s="24"/>
      <c r="D10" s="25" t="s">
        <v>33</v>
      </c>
      <c r="E10" s="25"/>
      <c r="F10" s="25"/>
      <c r="G10" s="25"/>
      <c r="H10" s="25"/>
    </row>
    <row r="11" customFormat="false" ht="27.75" hidden="false" customHeight="true" outlineLevel="0" collapsed="false">
      <c r="B11" s="24" t="s">
        <v>34</v>
      </c>
      <c r="C11" s="24"/>
      <c r="D11" s="25" t="s">
        <v>35</v>
      </c>
      <c r="E11" s="25"/>
      <c r="F11" s="25"/>
      <c r="G11" s="25"/>
      <c r="H11" s="25"/>
    </row>
    <row r="12" customFormat="false" ht="27.75" hidden="false" customHeight="true" outlineLevel="0" collapsed="false">
      <c r="B12" s="24" t="s">
        <v>36</v>
      </c>
      <c r="C12" s="24"/>
      <c r="D12" s="25" t="s">
        <v>37</v>
      </c>
      <c r="E12" s="25"/>
      <c r="F12" s="25"/>
      <c r="G12" s="25"/>
      <c r="H12" s="25"/>
    </row>
    <row r="13" customFormat="false" ht="27.75" hidden="false" customHeight="true" outlineLevel="0" collapsed="false">
      <c r="B13" s="24" t="s">
        <v>38</v>
      </c>
      <c r="C13" s="24"/>
      <c r="D13" s="25" t="s">
        <v>39</v>
      </c>
      <c r="E13" s="25"/>
      <c r="F13" s="25"/>
      <c r="G13" s="25"/>
      <c r="H13" s="25"/>
    </row>
    <row r="14" customFormat="false" ht="27.75" hidden="false" customHeight="true" outlineLevel="0" collapsed="false">
      <c r="B14" s="26" t="s">
        <v>40</v>
      </c>
      <c r="C14" s="26"/>
      <c r="D14" s="27" t="s">
        <v>41</v>
      </c>
      <c r="E14" s="27"/>
      <c r="F14" s="27"/>
      <c r="G14" s="27"/>
      <c r="H14" s="27"/>
    </row>
    <row r="16" customFormat="false" ht="21.75" hidden="false" customHeight="true" outlineLevel="0" collapsed="false">
      <c r="B16" s="21" t="s">
        <v>42</v>
      </c>
    </row>
    <row r="17" customFormat="false" ht="19.5" hidden="false" customHeight="true" outlineLevel="0" collapsed="false">
      <c r="B17" s="28" t="s">
        <v>43</v>
      </c>
      <c r="C17" s="28"/>
      <c r="D17" s="28"/>
      <c r="E17" s="28"/>
      <c r="F17" s="28"/>
      <c r="G17" s="29" t="s">
        <v>44</v>
      </c>
      <c r="H17" s="29"/>
    </row>
    <row r="18" customFormat="false" ht="19.5" hidden="false" customHeight="true" outlineLevel="0" collapsed="false">
      <c r="B18" s="30" t="s">
        <v>45</v>
      </c>
      <c r="C18" s="30"/>
      <c r="D18" s="30"/>
      <c r="E18" s="30"/>
      <c r="F18" s="30"/>
      <c r="G18" s="31" t="s">
        <v>46</v>
      </c>
      <c r="H18" s="31"/>
    </row>
    <row r="19" customFormat="false" ht="19.5" hidden="false" customHeight="true" outlineLevel="0" collapsed="false">
      <c r="B19" s="32" t="s">
        <v>47</v>
      </c>
      <c r="C19" s="32"/>
      <c r="D19" s="32"/>
      <c r="E19" s="32"/>
      <c r="F19" s="32"/>
      <c r="G19" s="33" t="s">
        <v>48</v>
      </c>
      <c r="H19" s="33"/>
    </row>
  </sheetData>
  <mergeCells count="21">
    <mergeCell ref="B2:H2"/>
    <mergeCell ref="B3:H3"/>
    <mergeCell ref="B6:H7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7:F17"/>
    <mergeCell ref="G17:H17"/>
    <mergeCell ref="B18:F18"/>
    <mergeCell ref="G18:H18"/>
    <mergeCell ref="B19:F19"/>
    <mergeCell ref="G19:H1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3"/>
  </cols>
  <sheetData>
    <row r="2" customFormat="false" ht="30" hidden="false" customHeight="true" outlineLevel="0" collapsed="false">
      <c r="B2" s="34" t="s">
        <v>49</v>
      </c>
      <c r="C2" s="34"/>
      <c r="D2" s="34"/>
      <c r="E2" s="34"/>
      <c r="F2" s="34"/>
      <c r="G2" s="34"/>
      <c r="H2" s="34"/>
    </row>
    <row r="3" customFormat="false" ht="15.75" hidden="false" customHeight="true" outlineLevel="0" collapsed="false">
      <c r="B3" s="35" t="s">
        <v>50</v>
      </c>
      <c r="C3" s="35"/>
      <c r="D3" s="35"/>
      <c r="E3" s="35"/>
      <c r="F3" s="35"/>
      <c r="G3" s="35"/>
      <c r="H3" s="35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36" t="s">
        <v>51</v>
      </c>
      <c r="C6" s="36"/>
      <c r="D6" s="36"/>
      <c r="E6" s="36"/>
      <c r="F6" s="36"/>
      <c r="G6" s="36"/>
      <c r="H6" s="36"/>
    </row>
    <row r="7" customFormat="false" ht="15" hidden="false" customHeight="true" outlineLevel="0" collapsed="false">
      <c r="B7" s="36"/>
      <c r="C7" s="36"/>
      <c r="D7" s="36"/>
      <c r="E7" s="36"/>
      <c r="F7" s="36"/>
      <c r="G7" s="36"/>
      <c r="H7" s="36"/>
    </row>
    <row r="8" customFormat="false" ht="21.75" hidden="false" customHeight="true" outlineLevel="0" collapsed="false">
      <c r="B8" s="37" t="s">
        <v>52</v>
      </c>
      <c r="C8" s="38" t="s">
        <v>53</v>
      </c>
      <c r="D8" s="39" t="s">
        <v>54</v>
      </c>
    </row>
    <row r="9" customFormat="false" ht="15" hidden="false" customHeight="false" outlineLevel="0" collapsed="false">
      <c r="B9" s="40" t="s">
        <v>55</v>
      </c>
      <c r="C9" s="41" t="n">
        <v>24.9</v>
      </c>
      <c r="D9" s="42" t="n">
        <v>50</v>
      </c>
    </row>
    <row r="10" customFormat="false" ht="15" hidden="false" customHeight="false" outlineLevel="0" collapsed="false">
      <c r="B10" s="43" t="s">
        <v>56</v>
      </c>
      <c r="C10" s="41" t="n">
        <v>7.5</v>
      </c>
      <c r="D10" s="44" t="n">
        <v>80</v>
      </c>
    </row>
    <row r="11" customFormat="false" ht="15" hidden="false" customHeight="false" outlineLevel="0" collapsed="false">
      <c r="B11" s="40" t="s">
        <v>57</v>
      </c>
      <c r="C11" s="41" t="n">
        <v>18</v>
      </c>
      <c r="D11" s="42" t="n">
        <v>30</v>
      </c>
    </row>
    <row r="12" customFormat="false" ht="15" hidden="false" customHeight="false" outlineLevel="0" collapsed="false">
      <c r="B12" s="45" t="s">
        <v>58</v>
      </c>
      <c r="C12" s="46" t="n">
        <v>4.8</v>
      </c>
      <c r="D12" s="47" t="n">
        <v>60</v>
      </c>
    </row>
    <row r="14" customFormat="false" ht="21.75" hidden="false" customHeight="true" outlineLevel="0" collapsed="false">
      <c r="B14" s="48" t="s">
        <v>29</v>
      </c>
    </row>
    <row r="15" customFormat="false" ht="27.75" hidden="false" customHeight="true" outlineLevel="0" collapsed="false">
      <c r="B15" s="49" t="s">
        <v>59</v>
      </c>
      <c r="C15" s="49"/>
      <c r="D15" s="50" t="s">
        <v>60</v>
      </c>
      <c r="E15" s="50"/>
      <c r="F15" s="50"/>
      <c r="G15" s="50"/>
      <c r="H15" s="50"/>
    </row>
    <row r="16" customFormat="false" ht="27.75" hidden="false" customHeight="true" outlineLevel="0" collapsed="false">
      <c r="B16" s="51" t="s">
        <v>61</v>
      </c>
      <c r="C16" s="51"/>
      <c r="D16" s="52" t="s">
        <v>62</v>
      </c>
      <c r="E16" s="52"/>
      <c r="F16" s="52"/>
      <c r="G16" s="52"/>
      <c r="H16" s="52"/>
    </row>
    <row r="17" customFormat="false" ht="27.75" hidden="false" customHeight="true" outlineLevel="0" collapsed="false">
      <c r="B17" s="51" t="s">
        <v>63</v>
      </c>
      <c r="C17" s="51"/>
      <c r="D17" s="52" t="s">
        <v>64</v>
      </c>
      <c r="E17" s="52"/>
      <c r="F17" s="52"/>
      <c r="G17" s="52"/>
      <c r="H17" s="52"/>
    </row>
    <row r="18" customFormat="false" ht="27.75" hidden="false" customHeight="true" outlineLevel="0" collapsed="false">
      <c r="B18" s="51" t="s">
        <v>65</v>
      </c>
      <c r="C18" s="51"/>
      <c r="D18" s="52" t="s">
        <v>66</v>
      </c>
      <c r="E18" s="52"/>
      <c r="F18" s="52"/>
      <c r="G18" s="52"/>
      <c r="H18" s="52"/>
    </row>
    <row r="19" customFormat="false" ht="27.75" hidden="false" customHeight="true" outlineLevel="0" collapsed="false">
      <c r="B19" s="53" t="s">
        <v>67</v>
      </c>
      <c r="C19" s="53"/>
      <c r="D19" s="54" t="s">
        <v>68</v>
      </c>
      <c r="E19" s="54"/>
      <c r="F19" s="54"/>
      <c r="G19" s="54"/>
      <c r="H19" s="54"/>
    </row>
    <row r="21" customFormat="false" ht="21.75" hidden="false" customHeight="true" outlineLevel="0" collapsed="false">
      <c r="B21" s="48" t="s">
        <v>42</v>
      </c>
    </row>
    <row r="22" customFormat="false" ht="19.5" hidden="false" customHeight="true" outlineLevel="0" collapsed="false">
      <c r="B22" s="55" t="s">
        <v>69</v>
      </c>
      <c r="C22" s="55"/>
      <c r="D22" s="55"/>
      <c r="E22" s="55"/>
      <c r="F22" s="55"/>
      <c r="G22" s="56" t="s">
        <v>70</v>
      </c>
      <c r="H22" s="56"/>
    </row>
    <row r="23" customFormat="false" ht="19.5" hidden="false" customHeight="true" outlineLevel="0" collapsed="false">
      <c r="B23" s="57" t="s">
        <v>71</v>
      </c>
      <c r="C23" s="57"/>
      <c r="D23" s="57"/>
      <c r="E23" s="57"/>
      <c r="F23" s="57"/>
      <c r="G23" s="58" t="s">
        <v>72</v>
      </c>
      <c r="H23" s="58"/>
    </row>
    <row r="24" customFormat="false" ht="19.5" hidden="false" customHeight="true" outlineLevel="0" collapsed="false">
      <c r="B24" s="59" t="s">
        <v>73</v>
      </c>
      <c r="C24" s="59"/>
      <c r="D24" s="59"/>
      <c r="E24" s="59"/>
      <c r="F24" s="59"/>
      <c r="G24" s="60" t="s">
        <v>74</v>
      </c>
      <c r="H24" s="60"/>
    </row>
  </sheetData>
  <mergeCells count="19">
    <mergeCell ref="B2:H2"/>
    <mergeCell ref="B3:H3"/>
    <mergeCell ref="B6:H7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2:F22"/>
    <mergeCell ref="G22:H22"/>
    <mergeCell ref="B23:F23"/>
    <mergeCell ref="G23:H23"/>
    <mergeCell ref="B24:F24"/>
    <mergeCell ref="G24:H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3"/>
  </cols>
  <sheetData>
    <row r="2" customFormat="false" ht="30" hidden="false" customHeight="true" outlineLevel="0" collapsed="false">
      <c r="B2" s="61" t="s">
        <v>75</v>
      </c>
      <c r="C2" s="61"/>
      <c r="D2" s="61"/>
      <c r="E2" s="61"/>
      <c r="F2" s="61"/>
      <c r="G2" s="61"/>
      <c r="H2" s="61"/>
    </row>
    <row r="3" customFormat="false" ht="15.75" hidden="false" customHeight="true" outlineLevel="0" collapsed="false">
      <c r="B3" s="62" t="s">
        <v>76</v>
      </c>
      <c r="C3" s="62"/>
      <c r="D3" s="62"/>
      <c r="E3" s="62"/>
      <c r="F3" s="62"/>
      <c r="G3" s="62"/>
      <c r="H3" s="62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63" t="s">
        <v>77</v>
      </c>
      <c r="C6" s="63"/>
      <c r="D6" s="63"/>
      <c r="E6" s="63"/>
      <c r="F6" s="63"/>
      <c r="G6" s="63"/>
      <c r="H6" s="63"/>
    </row>
    <row r="7" customFormat="false" ht="15" hidden="false" customHeight="true" outlineLevel="0" collapsed="false">
      <c r="B7" s="63"/>
      <c r="C7" s="63"/>
      <c r="D7" s="63"/>
      <c r="E7" s="63"/>
      <c r="F7" s="63"/>
      <c r="G7" s="63"/>
      <c r="H7" s="63"/>
    </row>
    <row r="8" customFormat="false" ht="15" hidden="false" customHeight="true" outlineLevel="0" collapsed="false">
      <c r="B8" s="63"/>
      <c r="C8" s="63"/>
      <c r="D8" s="63"/>
      <c r="E8" s="63"/>
      <c r="F8" s="63"/>
      <c r="G8" s="63"/>
      <c r="H8" s="63"/>
    </row>
    <row r="9" customFormat="false" ht="21.75" hidden="false" customHeight="true" outlineLevel="0" collapsed="false">
      <c r="B9" s="64" t="s">
        <v>78</v>
      </c>
      <c r="C9" s="65" t="s">
        <v>52</v>
      </c>
      <c r="D9" s="66" t="s">
        <v>53</v>
      </c>
    </row>
    <row r="10" customFormat="false" ht="15" hidden="false" customHeight="false" outlineLevel="0" collapsed="false">
      <c r="B10" s="67" t="s">
        <v>79</v>
      </c>
      <c r="C10" s="68" t="s">
        <v>80</v>
      </c>
      <c r="D10" s="69" t="n">
        <v>75</v>
      </c>
    </row>
    <row r="11" customFormat="false" ht="15" hidden="false" customHeight="false" outlineLevel="0" collapsed="false">
      <c r="B11" s="70" t="s">
        <v>81</v>
      </c>
      <c r="C11" s="71" t="s">
        <v>82</v>
      </c>
      <c r="D11" s="69" t="n">
        <v>45</v>
      </c>
    </row>
    <row r="12" customFormat="false" ht="15" hidden="false" customHeight="false" outlineLevel="0" collapsed="false">
      <c r="B12" s="67" t="s">
        <v>83</v>
      </c>
      <c r="C12" s="68" t="s">
        <v>84</v>
      </c>
      <c r="D12" s="69" t="n">
        <v>800</v>
      </c>
    </row>
    <row r="13" customFormat="false" ht="15" hidden="false" customHeight="false" outlineLevel="0" collapsed="false">
      <c r="B13" s="70" t="s">
        <v>85</v>
      </c>
      <c r="C13" s="71" t="s">
        <v>86</v>
      </c>
      <c r="D13" s="69" t="n">
        <v>120</v>
      </c>
    </row>
    <row r="14" customFormat="false" ht="15" hidden="false" customHeight="false" outlineLevel="0" collapsed="false">
      <c r="B14" s="67" t="s">
        <v>87</v>
      </c>
      <c r="C14" s="68" t="s">
        <v>88</v>
      </c>
      <c r="D14" s="69" t="n">
        <v>190</v>
      </c>
    </row>
    <row r="15" customFormat="false" ht="15" hidden="false" customHeight="false" outlineLevel="0" collapsed="false">
      <c r="B15" s="70" t="s">
        <v>89</v>
      </c>
      <c r="C15" s="71" t="s">
        <v>90</v>
      </c>
      <c r="D15" s="69" t="n">
        <v>3200</v>
      </c>
    </row>
    <row r="16" customFormat="false" ht="15" hidden="false" customHeight="false" outlineLevel="0" collapsed="false">
      <c r="B16" s="67" t="s">
        <v>91</v>
      </c>
      <c r="C16" s="68" t="s">
        <v>92</v>
      </c>
      <c r="D16" s="69" t="n">
        <v>650</v>
      </c>
    </row>
    <row r="17" customFormat="false" ht="15" hidden="false" customHeight="false" outlineLevel="0" collapsed="false">
      <c r="B17" s="72" t="s">
        <v>93</v>
      </c>
      <c r="C17" s="73" t="s">
        <v>94</v>
      </c>
      <c r="D17" s="74" t="n">
        <v>35</v>
      </c>
    </row>
    <row r="19" customFormat="false" ht="21.75" hidden="false" customHeight="true" outlineLevel="0" collapsed="false">
      <c r="B19" s="75" t="s">
        <v>95</v>
      </c>
    </row>
    <row r="20" customFormat="false" ht="15" hidden="false" customHeight="false" outlineLevel="0" collapsed="false">
      <c r="B20" s="64" t="s">
        <v>96</v>
      </c>
      <c r="C20" s="65" t="s">
        <v>97</v>
      </c>
      <c r="D20" s="66" t="s">
        <v>98</v>
      </c>
    </row>
    <row r="21" customFormat="false" ht="15" hidden="false" customHeight="false" outlineLevel="0" collapsed="false">
      <c r="B21" s="76" t="s">
        <v>89</v>
      </c>
      <c r="C21" s="77" t="str">
        <f aca="false">VLOOKUP(B21,$B$10:$D$17,2,FALSE())</f>
        <v>Notebook</v>
      </c>
      <c r="D21" s="78" t="n">
        <f aca="false">VLOOKUP(B21,$B$10:$D$17,3,FALSE())</f>
        <v>3200</v>
      </c>
    </row>
    <row r="22" customFormat="false" ht="15" hidden="false" customHeight="false" outlineLevel="0" collapsed="false">
      <c r="B22" s="76" t="s">
        <v>79</v>
      </c>
      <c r="C22" s="79" t="str">
        <f aca="false">VLOOKUP(B22,$B$10:$D$17,2,FALSE())</f>
        <v>Teclado</v>
      </c>
      <c r="D22" s="80" t="n">
        <f aca="false">VLOOKUP(B22,$B$10:$D$17,3,FALSE())</f>
        <v>75</v>
      </c>
    </row>
    <row r="23" customFormat="false" ht="15" hidden="false" customHeight="false" outlineLevel="0" collapsed="false">
      <c r="B23" s="81" t="s">
        <v>93</v>
      </c>
      <c r="C23" s="82" t="str">
        <f aca="false">VLOOKUP(B23,$B$10:$D$17,2,FALSE())</f>
        <v>Pendrive</v>
      </c>
      <c r="D23" s="83" t="n">
        <f aca="false">VLOOKUP(B23,$B$10:$D$17,3,FALSE())</f>
        <v>35</v>
      </c>
    </row>
    <row r="25" customFormat="false" ht="21.75" hidden="false" customHeight="true" outlineLevel="0" collapsed="false">
      <c r="B25" s="75" t="s">
        <v>99</v>
      </c>
    </row>
    <row r="26" customFormat="false" ht="19.5" hidden="false" customHeight="true" outlineLevel="0" collapsed="false">
      <c r="B26" s="84" t="s">
        <v>100</v>
      </c>
      <c r="C26" s="84"/>
      <c r="D26" s="84"/>
      <c r="E26" s="84"/>
      <c r="F26" s="84"/>
      <c r="G26" s="85" t="s">
        <v>90</v>
      </c>
      <c r="H26" s="85"/>
    </row>
    <row r="27" customFormat="false" ht="19.5" hidden="false" customHeight="true" outlineLevel="0" collapsed="false">
      <c r="B27" s="86" t="s">
        <v>101</v>
      </c>
      <c r="C27" s="86"/>
      <c r="D27" s="86"/>
      <c r="E27" s="86"/>
      <c r="F27" s="86"/>
      <c r="G27" s="87" t="n">
        <v>75</v>
      </c>
      <c r="H27" s="87"/>
    </row>
    <row r="28" customFormat="false" ht="19.5" hidden="false" customHeight="true" outlineLevel="0" collapsed="false">
      <c r="B28" s="88" t="s">
        <v>102</v>
      </c>
      <c r="C28" s="88"/>
      <c r="D28" s="88"/>
      <c r="E28" s="88"/>
      <c r="F28" s="88"/>
      <c r="G28" s="89" t="s">
        <v>94</v>
      </c>
      <c r="H28" s="89"/>
    </row>
  </sheetData>
  <mergeCells count="9">
    <mergeCell ref="B2:H2"/>
    <mergeCell ref="B3:H3"/>
    <mergeCell ref="B6:H8"/>
    <mergeCell ref="B26:F26"/>
    <mergeCell ref="G26:H26"/>
    <mergeCell ref="B27:F27"/>
    <mergeCell ref="G27:H27"/>
    <mergeCell ref="B28:F28"/>
    <mergeCell ref="G28:H2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13"/>
  </cols>
  <sheetData>
    <row r="2" customFormat="false" ht="30" hidden="false" customHeight="true" outlineLevel="0" collapsed="false">
      <c r="B2" s="90" t="s">
        <v>103</v>
      </c>
      <c r="C2" s="90"/>
      <c r="D2" s="90"/>
      <c r="E2" s="90"/>
      <c r="F2" s="90"/>
      <c r="G2" s="90"/>
      <c r="H2" s="90"/>
    </row>
    <row r="3" customFormat="false" ht="15.75" hidden="false" customHeight="true" outlineLevel="0" collapsed="false">
      <c r="B3" s="91" t="s">
        <v>104</v>
      </c>
      <c r="C3" s="91"/>
      <c r="D3" s="91"/>
      <c r="E3" s="91"/>
      <c r="F3" s="91"/>
      <c r="G3" s="91"/>
      <c r="H3" s="91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92" t="s">
        <v>105</v>
      </c>
      <c r="C6" s="92"/>
      <c r="D6" s="92"/>
      <c r="E6" s="92"/>
      <c r="F6" s="92"/>
      <c r="G6" s="92"/>
      <c r="H6" s="92"/>
    </row>
    <row r="7" customFormat="false" ht="15" hidden="false" customHeight="true" outlineLevel="0" collapsed="false">
      <c r="B7" s="92"/>
      <c r="C7" s="92"/>
      <c r="D7" s="92"/>
      <c r="E7" s="92"/>
      <c r="F7" s="92"/>
      <c r="G7" s="92"/>
      <c r="H7" s="92"/>
    </row>
    <row r="8" customFormat="false" ht="15" hidden="false" customHeight="false" outlineLevel="0" collapsed="false">
      <c r="B8" s="93" t="s">
        <v>106</v>
      </c>
    </row>
    <row r="9" customFormat="false" ht="21.75" hidden="false" customHeight="true" outlineLevel="0" collapsed="false">
      <c r="B9" s="94" t="s">
        <v>107</v>
      </c>
      <c r="C9" s="95" t="s">
        <v>52</v>
      </c>
      <c r="D9" s="96" t="s">
        <v>53</v>
      </c>
    </row>
    <row r="10" customFormat="false" ht="15" hidden="false" customHeight="false" outlineLevel="0" collapsed="false">
      <c r="B10" s="97" t="s">
        <v>79</v>
      </c>
      <c r="C10" s="68" t="s">
        <v>80</v>
      </c>
      <c r="D10" s="98" t="n">
        <v>75</v>
      </c>
    </row>
    <row r="11" customFormat="false" ht="15" hidden="false" customHeight="false" outlineLevel="0" collapsed="false">
      <c r="B11" s="99" t="s">
        <v>81</v>
      </c>
      <c r="C11" s="100" t="s">
        <v>82</v>
      </c>
      <c r="D11" s="98" t="n">
        <v>45</v>
      </c>
    </row>
    <row r="12" customFormat="false" ht="15" hidden="false" customHeight="false" outlineLevel="0" collapsed="false">
      <c r="B12" s="97" t="s">
        <v>83</v>
      </c>
      <c r="C12" s="68" t="s">
        <v>84</v>
      </c>
      <c r="D12" s="98" t="n">
        <v>800</v>
      </c>
    </row>
    <row r="13" customFormat="false" ht="15" hidden="false" customHeight="false" outlineLevel="0" collapsed="false">
      <c r="B13" s="99" t="s">
        <v>85</v>
      </c>
      <c r="C13" s="100" t="s">
        <v>86</v>
      </c>
      <c r="D13" s="98" t="n">
        <v>120</v>
      </c>
    </row>
    <row r="14" customFormat="false" ht="15" hidden="false" customHeight="false" outlineLevel="0" collapsed="false">
      <c r="B14" s="97" t="s">
        <v>87</v>
      </c>
      <c r="C14" s="68" t="s">
        <v>88</v>
      </c>
      <c r="D14" s="98" t="n">
        <v>190</v>
      </c>
    </row>
    <row r="15" customFormat="false" ht="15" hidden="false" customHeight="false" outlineLevel="0" collapsed="false">
      <c r="B15" s="99" t="s">
        <v>89</v>
      </c>
      <c r="C15" s="100" t="s">
        <v>90</v>
      </c>
      <c r="D15" s="98" t="n">
        <v>3200</v>
      </c>
    </row>
    <row r="16" customFormat="false" ht="15" hidden="false" customHeight="false" outlineLevel="0" collapsed="false">
      <c r="B16" s="97" t="s">
        <v>91</v>
      </c>
      <c r="C16" s="68" t="s">
        <v>92</v>
      </c>
      <c r="D16" s="98" t="n">
        <v>650</v>
      </c>
    </row>
    <row r="17" customFormat="false" ht="15" hidden="false" customHeight="false" outlineLevel="0" collapsed="false">
      <c r="B17" s="101" t="s">
        <v>93</v>
      </c>
      <c r="C17" s="102" t="s">
        <v>94</v>
      </c>
      <c r="D17" s="103" t="n">
        <v>35</v>
      </c>
    </row>
    <row r="19" customFormat="false" ht="21.75" hidden="false" customHeight="true" outlineLevel="0" collapsed="false">
      <c r="B19" s="104" t="s">
        <v>108</v>
      </c>
    </row>
    <row r="20" customFormat="false" ht="15" hidden="false" customHeight="false" outlineLevel="0" collapsed="false">
      <c r="B20" s="94" t="s">
        <v>107</v>
      </c>
      <c r="C20" s="95" t="s">
        <v>52</v>
      </c>
      <c r="D20" s="95" t="s">
        <v>109</v>
      </c>
      <c r="E20" s="95" t="s">
        <v>110</v>
      </c>
      <c r="F20" s="96" t="s">
        <v>111</v>
      </c>
    </row>
    <row r="21" customFormat="false" ht="15" hidden="false" customHeight="false" outlineLevel="0" collapsed="false">
      <c r="B21" s="105" t="s">
        <v>83</v>
      </c>
      <c r="C21" s="106" t="str">
        <f aca="false">VLOOKUP(B21,$B$10:$D$17,2,FALSE())</f>
        <v>Monitor</v>
      </c>
      <c r="D21" s="107" t="n">
        <f aca="false">VLOOKUP(B21,$B$10:$D$17,3,FALSE())</f>
        <v>800</v>
      </c>
      <c r="E21" s="108" t="n">
        <v>2</v>
      </c>
      <c r="F21" s="109" t="n">
        <f aca="false">D21*E21</f>
        <v>1600</v>
      </c>
    </row>
    <row r="22" customFormat="false" ht="15" hidden="false" customHeight="false" outlineLevel="0" collapsed="false">
      <c r="B22" s="105" t="s">
        <v>89</v>
      </c>
      <c r="C22" s="110" t="str">
        <f aca="false">VLOOKUP(B22,$B$10:$D$17,2,FALSE())</f>
        <v>Notebook</v>
      </c>
      <c r="D22" s="111" t="n">
        <f aca="false">VLOOKUP(B22,$B$10:$D$17,3,FALSE())</f>
        <v>3200</v>
      </c>
      <c r="E22" s="108" t="n">
        <v>1</v>
      </c>
      <c r="F22" s="112" t="n">
        <f aca="false">D22*E22</f>
        <v>3200</v>
      </c>
    </row>
    <row r="23" customFormat="false" ht="15" hidden="false" customHeight="false" outlineLevel="0" collapsed="false">
      <c r="B23" s="105" t="s">
        <v>79</v>
      </c>
      <c r="C23" s="110" t="str">
        <f aca="false">VLOOKUP(B23,$B$10:$D$17,2,FALSE())</f>
        <v>Teclado</v>
      </c>
      <c r="D23" s="111" t="n">
        <f aca="false">VLOOKUP(B23,$B$10:$D$17,3,FALSE())</f>
        <v>75</v>
      </c>
      <c r="E23" s="108" t="n">
        <v>3</v>
      </c>
      <c r="F23" s="112" t="n">
        <f aca="false">D23*E23</f>
        <v>225</v>
      </c>
    </row>
    <row r="24" customFormat="false" ht="15" hidden="false" customHeight="false" outlineLevel="0" collapsed="false">
      <c r="B24" s="105" t="s">
        <v>93</v>
      </c>
      <c r="C24" s="110" t="str">
        <f aca="false">VLOOKUP(B24,$B$10:$D$17,2,FALSE())</f>
        <v>Pendrive</v>
      </c>
      <c r="D24" s="111" t="n">
        <f aca="false">VLOOKUP(B24,$B$10:$D$17,3,FALSE())</f>
        <v>35</v>
      </c>
      <c r="E24" s="108" t="n">
        <v>5</v>
      </c>
      <c r="F24" s="112" t="n">
        <f aca="false">D24*E24</f>
        <v>175</v>
      </c>
    </row>
    <row r="25" customFormat="false" ht="15" hidden="false" customHeight="false" outlineLevel="0" collapsed="false">
      <c r="B25" s="105" t="s">
        <v>87</v>
      </c>
      <c r="C25" s="110" t="str">
        <f aca="false">VLOOKUP(B25,$B$10:$D$17,2,FALSE())</f>
        <v>Headset</v>
      </c>
      <c r="D25" s="111" t="n">
        <f aca="false">VLOOKUP(B25,$B$10:$D$17,3,FALSE())</f>
        <v>190</v>
      </c>
      <c r="E25" s="108" t="n">
        <v>2</v>
      </c>
      <c r="F25" s="112" t="n">
        <f aca="false">D25*E25</f>
        <v>380</v>
      </c>
    </row>
    <row r="26" customFormat="false" ht="15" hidden="false" customHeight="false" outlineLevel="0" collapsed="false">
      <c r="B26" s="113" t="s">
        <v>112</v>
      </c>
      <c r="C26" s="113"/>
      <c r="D26" s="113"/>
      <c r="E26" s="113"/>
      <c r="F26" s="114" t="n">
        <f aca="false">SUM(F21:F25)</f>
        <v>5580</v>
      </c>
    </row>
    <row r="28" customFormat="false" ht="21.75" hidden="false" customHeight="true" outlineLevel="0" collapsed="false">
      <c r="B28" s="104" t="s">
        <v>113</v>
      </c>
    </row>
    <row r="29" customFormat="false" ht="19.5" hidden="false" customHeight="true" outlineLevel="0" collapsed="false">
      <c r="B29" s="115" t="s">
        <v>114</v>
      </c>
      <c r="C29" s="115"/>
      <c r="D29" s="115"/>
      <c r="E29" s="115"/>
      <c r="F29" s="115"/>
      <c r="G29" s="116" t="s">
        <v>90</v>
      </c>
      <c r="H29" s="116"/>
    </row>
    <row r="30" customFormat="false" ht="19.5" hidden="false" customHeight="true" outlineLevel="0" collapsed="false">
      <c r="B30" s="117" t="s">
        <v>115</v>
      </c>
      <c r="C30" s="117"/>
      <c r="D30" s="117"/>
      <c r="E30" s="117"/>
      <c r="F30" s="117"/>
      <c r="G30" s="118" t="n">
        <v>13</v>
      </c>
      <c r="H30" s="118"/>
    </row>
    <row r="31" customFormat="false" ht="19.5" hidden="false" customHeight="true" outlineLevel="0" collapsed="false">
      <c r="B31" s="119" t="s">
        <v>116</v>
      </c>
      <c r="C31" s="119"/>
      <c r="D31" s="119"/>
      <c r="E31" s="119"/>
      <c r="F31" s="119"/>
      <c r="G31" s="120" t="n">
        <v>5580</v>
      </c>
      <c r="H31" s="120"/>
    </row>
  </sheetData>
  <mergeCells count="10">
    <mergeCell ref="B2:H2"/>
    <mergeCell ref="B3:H3"/>
    <mergeCell ref="B6:H7"/>
    <mergeCell ref="B26:E26"/>
    <mergeCell ref="B29:F29"/>
    <mergeCell ref="G29:H29"/>
    <mergeCell ref="B30:F30"/>
    <mergeCell ref="G30:H30"/>
    <mergeCell ref="B31:F31"/>
    <mergeCell ref="G31:H3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3"/>
  </cols>
  <sheetData>
    <row r="2" customFormat="false" ht="30" hidden="false" customHeight="true" outlineLevel="0" collapsed="false">
      <c r="B2" s="121" t="s">
        <v>117</v>
      </c>
      <c r="C2" s="121"/>
      <c r="D2" s="121"/>
      <c r="E2" s="121"/>
      <c r="F2" s="121"/>
      <c r="G2" s="121"/>
      <c r="H2" s="121"/>
    </row>
    <row r="3" customFormat="false" ht="15.75" hidden="false" customHeight="true" outlineLevel="0" collapsed="false">
      <c r="B3" s="122" t="s">
        <v>118</v>
      </c>
      <c r="C3" s="122"/>
      <c r="D3" s="122"/>
      <c r="E3" s="122"/>
      <c r="F3" s="122"/>
      <c r="G3" s="122"/>
      <c r="H3" s="122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123" t="s">
        <v>119</v>
      </c>
      <c r="C6" s="123"/>
      <c r="D6" s="123"/>
      <c r="E6" s="123"/>
      <c r="F6" s="123"/>
      <c r="G6" s="123"/>
      <c r="H6" s="123"/>
    </row>
    <row r="7" customFormat="false" ht="15" hidden="false" customHeight="true" outlineLevel="0" collapsed="false">
      <c r="B7" s="123"/>
      <c r="C7" s="123"/>
      <c r="D7" s="123"/>
      <c r="E7" s="123"/>
      <c r="F7" s="123"/>
      <c r="G7" s="123"/>
      <c r="H7" s="123"/>
    </row>
    <row r="8" customFormat="false" ht="15" hidden="false" customHeight="true" outlineLevel="0" collapsed="false">
      <c r="B8" s="123"/>
      <c r="C8" s="123"/>
      <c r="D8" s="123"/>
      <c r="E8" s="123"/>
      <c r="F8" s="123"/>
      <c r="G8" s="123"/>
      <c r="H8" s="123"/>
    </row>
    <row r="9" customFormat="false" ht="21.75" hidden="false" customHeight="true" outlineLevel="0" collapsed="false">
      <c r="B9" s="124" t="s">
        <v>120</v>
      </c>
      <c r="C9" s="125" t="s">
        <v>121</v>
      </c>
      <c r="D9" s="125" t="s">
        <v>122</v>
      </c>
      <c r="E9" s="125" t="s">
        <v>123</v>
      </c>
      <c r="F9" s="126" t="s">
        <v>124</v>
      </c>
    </row>
    <row r="10" customFormat="false" ht="15" hidden="false" customHeight="false" outlineLevel="0" collapsed="false">
      <c r="B10" s="127" t="s">
        <v>125</v>
      </c>
      <c r="C10" s="68" t="s">
        <v>126</v>
      </c>
      <c r="D10" s="68" t="s">
        <v>127</v>
      </c>
      <c r="E10" s="108" t="s">
        <v>128</v>
      </c>
      <c r="F10" s="128" t="n">
        <f aca="false">LEN(B10)</f>
        <v>5</v>
      </c>
    </row>
    <row r="11" customFormat="false" ht="15" hidden="false" customHeight="false" outlineLevel="0" collapsed="false">
      <c r="B11" s="129" t="s">
        <v>129</v>
      </c>
      <c r="C11" s="130" t="s">
        <v>130</v>
      </c>
      <c r="D11" s="130" t="s">
        <v>131</v>
      </c>
      <c r="E11" s="131" t="s">
        <v>132</v>
      </c>
      <c r="F11" s="132" t="n">
        <f aca="false">LEN(B11)</f>
        <v>4</v>
      </c>
    </row>
    <row r="12" customFormat="false" ht="15" hidden="false" customHeight="false" outlineLevel="0" collapsed="false">
      <c r="B12" s="127" t="s">
        <v>133</v>
      </c>
      <c r="C12" s="68" t="s">
        <v>134</v>
      </c>
      <c r="D12" s="68" t="s">
        <v>135</v>
      </c>
      <c r="E12" s="108" t="s">
        <v>136</v>
      </c>
      <c r="F12" s="132" t="n">
        <f aca="false">LEN(B12)</f>
        <v>3</v>
      </c>
    </row>
    <row r="13" customFormat="false" ht="15" hidden="false" customHeight="false" outlineLevel="0" collapsed="false">
      <c r="B13" s="129" t="s">
        <v>137</v>
      </c>
      <c r="C13" s="130" t="s">
        <v>138</v>
      </c>
      <c r="D13" s="130" t="s">
        <v>139</v>
      </c>
      <c r="E13" s="131" t="s">
        <v>140</v>
      </c>
      <c r="F13" s="132" t="n">
        <f aca="false">LEN(B13)</f>
        <v>5</v>
      </c>
    </row>
    <row r="14" customFormat="false" ht="15" hidden="false" customHeight="false" outlineLevel="0" collapsed="false">
      <c r="B14" s="127" t="s">
        <v>141</v>
      </c>
      <c r="C14" s="68" t="s">
        <v>142</v>
      </c>
      <c r="D14" s="68" t="s">
        <v>143</v>
      </c>
      <c r="E14" s="108" t="s">
        <v>144</v>
      </c>
      <c r="F14" s="132" t="n">
        <f aca="false">LEN(B14)</f>
        <v>5</v>
      </c>
    </row>
    <row r="15" customFormat="false" ht="15" hidden="false" customHeight="false" outlineLevel="0" collapsed="false">
      <c r="B15" s="133" t="s">
        <v>145</v>
      </c>
      <c r="C15" s="134" t="s">
        <v>146</v>
      </c>
      <c r="D15" s="134" t="s">
        <v>147</v>
      </c>
      <c r="E15" s="135" t="s">
        <v>148</v>
      </c>
      <c r="F15" s="136" t="n">
        <f aca="false">LEN(B15)</f>
        <v>6</v>
      </c>
    </row>
    <row r="17" customFormat="false" ht="21.75" hidden="false" customHeight="true" outlineLevel="0" collapsed="false">
      <c r="B17" s="137" t="s">
        <v>149</v>
      </c>
    </row>
    <row r="18" customFormat="false" ht="15" hidden="false" customHeight="false" outlineLevel="0" collapsed="false">
      <c r="B18" s="124" t="s">
        <v>150</v>
      </c>
      <c r="C18" s="125" t="s">
        <v>151</v>
      </c>
      <c r="D18" s="125" t="s">
        <v>152</v>
      </c>
      <c r="E18" s="138"/>
      <c r="F18" s="126" t="s">
        <v>153</v>
      </c>
    </row>
    <row r="19" customFormat="false" ht="23.85" hidden="false" customHeight="true" outlineLevel="0" collapsed="false">
      <c r="B19" s="139" t="s">
        <v>154</v>
      </c>
      <c r="C19" s="140" t="s">
        <v>155</v>
      </c>
      <c r="D19" s="141" t="s">
        <v>156</v>
      </c>
      <c r="E19" s="141"/>
      <c r="F19" s="128" t="str">
        <f aca="false">LEFT(E10,4)</f>
        <v>2024</v>
      </c>
    </row>
    <row r="20" customFormat="false" ht="23.85" hidden="false" customHeight="true" outlineLevel="0" collapsed="false">
      <c r="B20" s="139" t="s">
        <v>154</v>
      </c>
      <c r="C20" s="140" t="s">
        <v>157</v>
      </c>
      <c r="D20" s="141" t="s">
        <v>158</v>
      </c>
      <c r="E20" s="141"/>
      <c r="F20" s="132" t="str">
        <f aca="false">RIGHT(E10,3)</f>
        <v>001</v>
      </c>
    </row>
    <row r="21" customFormat="false" ht="23.85" hidden="false" customHeight="true" outlineLevel="0" collapsed="false">
      <c r="B21" s="142" t="s">
        <v>159</v>
      </c>
      <c r="C21" s="143" t="s">
        <v>160</v>
      </c>
      <c r="D21" s="144" t="s">
        <v>161</v>
      </c>
      <c r="E21" s="144"/>
      <c r="F21" s="136" t="n">
        <f aca="false">LEN(B10)</f>
        <v>5</v>
      </c>
    </row>
    <row r="23" customFormat="false" ht="21.75" hidden="false" customHeight="true" outlineLevel="0" collapsed="false">
      <c r="B23" s="137" t="s">
        <v>113</v>
      </c>
    </row>
    <row r="24" customFormat="false" ht="19.5" hidden="false" customHeight="true" outlineLevel="0" collapsed="false">
      <c r="B24" s="145" t="s">
        <v>162</v>
      </c>
      <c r="C24" s="145"/>
      <c r="D24" s="145"/>
      <c r="E24" s="145"/>
      <c r="F24" s="145"/>
      <c r="G24" s="146" t="s">
        <v>163</v>
      </c>
      <c r="H24" s="146"/>
    </row>
    <row r="25" customFormat="false" ht="19.5" hidden="false" customHeight="true" outlineLevel="0" collapsed="false">
      <c r="B25" s="139" t="s">
        <v>164</v>
      </c>
      <c r="C25" s="139"/>
      <c r="D25" s="139"/>
      <c r="E25" s="139"/>
      <c r="F25" s="139"/>
      <c r="G25" s="147" t="s">
        <v>165</v>
      </c>
      <c r="H25" s="147"/>
    </row>
    <row r="26" customFormat="false" ht="19.5" hidden="false" customHeight="true" outlineLevel="0" collapsed="false">
      <c r="B26" s="142" t="s">
        <v>166</v>
      </c>
      <c r="C26" s="142"/>
      <c r="D26" s="142"/>
      <c r="E26" s="142"/>
      <c r="F26" s="142"/>
      <c r="G26" s="148" t="s">
        <v>167</v>
      </c>
      <c r="H26" s="148"/>
    </row>
  </sheetData>
  <mergeCells count="12">
    <mergeCell ref="B2:H2"/>
    <mergeCell ref="B3:H3"/>
    <mergeCell ref="B6:H8"/>
    <mergeCell ref="D19:E19"/>
    <mergeCell ref="D20:E20"/>
    <mergeCell ref="D21:E21"/>
    <mergeCell ref="B24:F24"/>
    <mergeCell ref="G24:H24"/>
    <mergeCell ref="B25:F25"/>
    <mergeCell ref="G25:H25"/>
    <mergeCell ref="B26:F26"/>
    <mergeCell ref="G26:H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5" min="3" style="0" width="18"/>
    <col collapsed="false" customWidth="true" hidden="false" outlineLevel="0" max="8" min="6" style="0" width="13"/>
  </cols>
  <sheetData>
    <row r="2" customFormat="false" ht="30" hidden="false" customHeight="true" outlineLevel="0" collapsed="false">
      <c r="B2" s="149" t="s">
        <v>168</v>
      </c>
      <c r="C2" s="149"/>
      <c r="D2" s="149"/>
      <c r="E2" s="149"/>
      <c r="F2" s="149"/>
      <c r="G2" s="149"/>
      <c r="H2" s="149"/>
    </row>
    <row r="3" customFormat="false" ht="15.75" hidden="false" customHeight="true" outlineLevel="0" collapsed="false">
      <c r="B3" s="150" t="s">
        <v>169</v>
      </c>
      <c r="C3" s="150"/>
      <c r="D3" s="150"/>
      <c r="E3" s="150"/>
      <c r="F3" s="150"/>
      <c r="G3" s="150"/>
      <c r="H3" s="150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151" t="s">
        <v>170</v>
      </c>
      <c r="C6" s="151"/>
      <c r="D6" s="151"/>
      <c r="E6" s="151"/>
      <c r="F6" s="151"/>
      <c r="G6" s="151"/>
      <c r="H6" s="151"/>
    </row>
    <row r="7" customFormat="false" ht="15" hidden="false" customHeight="true" outlineLevel="0" collapsed="false">
      <c r="B7" s="151"/>
      <c r="C7" s="151"/>
      <c r="D7" s="151"/>
      <c r="E7" s="151"/>
      <c r="F7" s="151"/>
      <c r="G7" s="151"/>
      <c r="H7" s="151"/>
    </row>
    <row r="8" customFormat="false" ht="15" hidden="false" customHeight="true" outlineLevel="0" collapsed="false">
      <c r="B8" s="151"/>
      <c r="C8" s="151"/>
      <c r="D8" s="151"/>
      <c r="E8" s="151"/>
      <c r="F8" s="151"/>
      <c r="G8" s="151"/>
      <c r="H8" s="151"/>
    </row>
    <row r="9" customFormat="false" ht="21.75" hidden="false" customHeight="true" outlineLevel="0" collapsed="false">
      <c r="B9" s="152" t="s">
        <v>171</v>
      </c>
      <c r="C9" s="153" t="s">
        <v>172</v>
      </c>
      <c r="D9" s="153" t="s">
        <v>173</v>
      </c>
      <c r="E9" s="154" t="s">
        <v>174</v>
      </c>
    </row>
    <row r="10" customFormat="false" ht="15" hidden="false" customHeight="false" outlineLevel="0" collapsed="false">
      <c r="B10" s="155" t="s">
        <v>125</v>
      </c>
      <c r="C10" s="156" t="str">
        <f aca="false">UPPER(B10)</f>
        <v>MARIA</v>
      </c>
      <c r="D10" s="156" t="str">
        <f aca="false">LOWER(B10)</f>
        <v>maria</v>
      </c>
      <c r="E10" s="157" t="str">
        <f aca="false">PROPER(B10)</f>
        <v>Maria</v>
      </c>
    </row>
    <row r="11" customFormat="false" ht="15" hidden="false" customHeight="false" outlineLevel="0" collapsed="false">
      <c r="B11" s="158" t="s">
        <v>129</v>
      </c>
      <c r="C11" s="159" t="str">
        <f aca="false">UPPER(B11)</f>
        <v>JOÃO</v>
      </c>
      <c r="D11" s="159" t="str">
        <f aca="false">LOWER(B11)</f>
        <v>joão</v>
      </c>
      <c r="E11" s="160" t="str">
        <f aca="false">PROPER(B11)</f>
        <v>João</v>
      </c>
    </row>
    <row r="12" customFormat="false" ht="15" hidden="false" customHeight="false" outlineLevel="0" collapsed="false">
      <c r="B12" s="155" t="s">
        <v>133</v>
      </c>
      <c r="C12" s="159" t="str">
        <f aca="false">UPPER(B12)</f>
        <v>ANA</v>
      </c>
      <c r="D12" s="159" t="str">
        <f aca="false">LOWER(B12)</f>
        <v>ana</v>
      </c>
      <c r="E12" s="160" t="str">
        <f aca="false">PROPER(B12)</f>
        <v>Ana</v>
      </c>
    </row>
    <row r="13" customFormat="false" ht="15" hidden="false" customHeight="false" outlineLevel="0" collapsed="false">
      <c r="B13" s="158" t="s">
        <v>137</v>
      </c>
      <c r="C13" s="159" t="str">
        <f aca="false">UPPER(B13)</f>
        <v>PEDRO</v>
      </c>
      <c r="D13" s="159" t="str">
        <f aca="false">LOWER(B13)</f>
        <v>pedro</v>
      </c>
      <c r="E13" s="160" t="str">
        <f aca="false">PROPER(B13)</f>
        <v>Pedro</v>
      </c>
    </row>
    <row r="14" customFormat="false" ht="15" hidden="false" customHeight="false" outlineLevel="0" collapsed="false">
      <c r="B14" s="155" t="s">
        <v>141</v>
      </c>
      <c r="C14" s="159" t="str">
        <f aca="false">UPPER(B14)</f>
        <v>LUCAS</v>
      </c>
      <c r="D14" s="159" t="str">
        <f aca="false">LOWER(B14)</f>
        <v>lucas</v>
      </c>
      <c r="E14" s="160" t="str">
        <f aca="false">PROPER(B14)</f>
        <v>Lucas</v>
      </c>
    </row>
    <row r="15" customFormat="false" ht="15" hidden="false" customHeight="false" outlineLevel="0" collapsed="false">
      <c r="B15" s="161" t="s">
        <v>145</v>
      </c>
      <c r="C15" s="162" t="str">
        <f aca="false">UPPER(B15)</f>
        <v>BIANCA</v>
      </c>
      <c r="D15" s="162" t="str">
        <f aca="false">LOWER(B15)</f>
        <v>bianca</v>
      </c>
      <c r="E15" s="163" t="str">
        <f aca="false">PROPER(B15)</f>
        <v>Bianca</v>
      </c>
    </row>
    <row r="17" customFormat="false" ht="21.75" hidden="false" customHeight="true" outlineLevel="0" collapsed="false">
      <c r="B17" s="164" t="s">
        <v>113</v>
      </c>
    </row>
    <row r="18" customFormat="false" ht="19.5" hidden="false" customHeight="true" outlineLevel="0" collapsed="false">
      <c r="B18" s="165" t="s">
        <v>175</v>
      </c>
      <c r="C18" s="165"/>
      <c r="D18" s="165"/>
      <c r="E18" s="165"/>
      <c r="F18" s="165"/>
      <c r="G18" s="166" t="s">
        <v>125</v>
      </c>
      <c r="H18" s="166"/>
    </row>
    <row r="19" customFormat="false" ht="19.5" hidden="false" customHeight="true" outlineLevel="0" collapsed="false">
      <c r="B19" s="167" t="s">
        <v>176</v>
      </c>
      <c r="C19" s="167"/>
      <c r="D19" s="167"/>
      <c r="E19" s="167"/>
      <c r="F19" s="167"/>
      <c r="G19" s="168" t="s">
        <v>177</v>
      </c>
      <c r="H19" s="168"/>
    </row>
    <row r="20" customFormat="false" ht="19.5" hidden="false" customHeight="true" outlineLevel="0" collapsed="false">
      <c r="B20" s="169" t="s">
        <v>178</v>
      </c>
      <c r="C20" s="169"/>
      <c r="D20" s="169"/>
      <c r="E20" s="169"/>
      <c r="F20" s="169"/>
      <c r="G20" s="170" t="s">
        <v>179</v>
      </c>
      <c r="H20" s="170"/>
    </row>
  </sheetData>
  <mergeCells count="9">
    <mergeCell ref="B2:H2"/>
    <mergeCell ref="B3:H3"/>
    <mergeCell ref="B6:H8"/>
    <mergeCell ref="B18:F18"/>
    <mergeCell ref="G18:H18"/>
    <mergeCell ref="B19:F19"/>
    <mergeCell ref="G19:H19"/>
    <mergeCell ref="B20:F20"/>
    <mergeCell ref="G20:H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8" min="5" style="0" width="12"/>
  </cols>
  <sheetData>
    <row r="2" customFormat="false" ht="30" hidden="false" customHeight="true" outlineLevel="0" collapsed="false">
      <c r="B2" s="171" t="s">
        <v>180</v>
      </c>
      <c r="C2" s="171"/>
      <c r="D2" s="171"/>
      <c r="E2" s="171"/>
      <c r="F2" s="171"/>
      <c r="G2" s="171"/>
      <c r="H2" s="171"/>
    </row>
    <row r="3" customFormat="false" ht="15.75" hidden="false" customHeight="true" outlineLevel="0" collapsed="false">
      <c r="B3" s="172" t="s">
        <v>181</v>
      </c>
      <c r="C3" s="172"/>
      <c r="D3" s="172"/>
      <c r="E3" s="172"/>
      <c r="F3" s="172"/>
      <c r="G3" s="172"/>
      <c r="H3" s="172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173" t="s">
        <v>182</v>
      </c>
      <c r="C6" s="173"/>
      <c r="D6" s="173"/>
      <c r="E6" s="173"/>
      <c r="F6" s="173"/>
      <c r="G6" s="173"/>
      <c r="H6" s="173"/>
    </row>
    <row r="7" customFormat="false" ht="15" hidden="false" customHeight="true" outlineLevel="0" collapsed="false">
      <c r="B7" s="173"/>
      <c r="C7" s="173"/>
      <c r="D7" s="173"/>
      <c r="E7" s="173"/>
      <c r="F7" s="173"/>
      <c r="G7" s="173"/>
      <c r="H7" s="173"/>
    </row>
    <row r="8" customFormat="false" ht="15" hidden="false" customHeight="true" outlineLevel="0" collapsed="false">
      <c r="B8" s="173"/>
      <c r="C8" s="173"/>
      <c r="D8" s="173"/>
      <c r="E8" s="173"/>
      <c r="F8" s="173"/>
      <c r="G8" s="173"/>
      <c r="H8" s="173"/>
    </row>
    <row r="9" customFormat="false" ht="15" hidden="false" customHeight="true" outlineLevel="0" collapsed="false">
      <c r="B9" s="173"/>
      <c r="C9" s="173"/>
      <c r="D9" s="173"/>
      <c r="E9" s="173"/>
      <c r="F9" s="173"/>
      <c r="G9" s="173"/>
      <c r="H9" s="173"/>
    </row>
    <row r="10" customFormat="false" ht="21.75" hidden="false" customHeight="true" outlineLevel="0" collapsed="false">
      <c r="B10" s="174" t="s">
        <v>183</v>
      </c>
      <c r="C10" s="175" t="s">
        <v>184</v>
      </c>
      <c r="D10" s="176" t="s">
        <v>185</v>
      </c>
    </row>
    <row r="11" customFormat="false" ht="15" hidden="false" customHeight="false" outlineLevel="0" collapsed="false">
      <c r="B11" s="177" t="s">
        <v>186</v>
      </c>
      <c r="C11" s="108" t="n">
        <v>32</v>
      </c>
      <c r="D11" s="178" t="n">
        <v>480</v>
      </c>
    </row>
    <row r="12" customFormat="false" ht="15" hidden="false" customHeight="false" outlineLevel="0" collapsed="false">
      <c r="B12" s="179" t="s">
        <v>187</v>
      </c>
      <c r="C12" s="180" t="n">
        <v>33</v>
      </c>
      <c r="D12" s="181" t="n">
        <v>510</v>
      </c>
    </row>
    <row r="13" customFormat="false" ht="15" hidden="false" customHeight="false" outlineLevel="0" collapsed="false">
      <c r="B13" s="177" t="s">
        <v>188</v>
      </c>
      <c r="C13" s="108" t="n">
        <v>30</v>
      </c>
      <c r="D13" s="178" t="n">
        <v>430</v>
      </c>
    </row>
    <row r="14" customFormat="false" ht="15" hidden="false" customHeight="false" outlineLevel="0" collapsed="false">
      <c r="B14" s="179" t="s">
        <v>189</v>
      </c>
      <c r="C14" s="180" t="n">
        <v>27</v>
      </c>
      <c r="D14" s="181" t="n">
        <v>350</v>
      </c>
    </row>
    <row r="15" customFormat="false" ht="15" hidden="false" customHeight="false" outlineLevel="0" collapsed="false">
      <c r="B15" s="177" t="s">
        <v>190</v>
      </c>
      <c r="C15" s="108" t="n">
        <v>24</v>
      </c>
      <c r="D15" s="178" t="n">
        <v>260</v>
      </c>
    </row>
    <row r="16" customFormat="false" ht="15" hidden="false" customHeight="false" outlineLevel="0" collapsed="false">
      <c r="B16" s="179" t="s">
        <v>191</v>
      </c>
      <c r="C16" s="180" t="n">
        <v>21</v>
      </c>
      <c r="D16" s="181" t="n">
        <v>180</v>
      </c>
    </row>
    <row r="17" customFormat="false" ht="15" hidden="false" customHeight="false" outlineLevel="0" collapsed="false">
      <c r="B17" s="177" t="s">
        <v>192</v>
      </c>
      <c r="C17" s="108" t="n">
        <v>20</v>
      </c>
      <c r="D17" s="178" t="n">
        <v>150</v>
      </c>
    </row>
    <row r="18" customFormat="false" ht="15" hidden="false" customHeight="false" outlineLevel="0" collapsed="false">
      <c r="B18" s="179" t="s">
        <v>193</v>
      </c>
      <c r="C18" s="180" t="n">
        <v>22</v>
      </c>
      <c r="D18" s="181" t="n">
        <v>200</v>
      </c>
    </row>
    <row r="19" customFormat="false" ht="15" hidden="false" customHeight="false" outlineLevel="0" collapsed="false">
      <c r="B19" s="177" t="s">
        <v>194</v>
      </c>
      <c r="C19" s="108" t="n">
        <v>25</v>
      </c>
      <c r="D19" s="178" t="n">
        <v>300</v>
      </c>
    </row>
    <row r="20" customFormat="false" ht="15" hidden="false" customHeight="false" outlineLevel="0" collapsed="false">
      <c r="B20" s="179" t="s">
        <v>195</v>
      </c>
      <c r="C20" s="180" t="n">
        <v>28</v>
      </c>
      <c r="D20" s="181" t="n">
        <v>380</v>
      </c>
    </row>
    <row r="21" customFormat="false" ht="15" hidden="false" customHeight="false" outlineLevel="0" collapsed="false">
      <c r="B21" s="177" t="s">
        <v>196</v>
      </c>
      <c r="C21" s="108" t="n">
        <v>30</v>
      </c>
      <c r="D21" s="178" t="n">
        <v>450</v>
      </c>
    </row>
    <row r="22" customFormat="false" ht="15" hidden="false" customHeight="false" outlineLevel="0" collapsed="false">
      <c r="B22" s="182" t="s">
        <v>197</v>
      </c>
      <c r="C22" s="183" t="n">
        <v>33</v>
      </c>
      <c r="D22" s="184" t="n">
        <v>520</v>
      </c>
    </row>
    <row r="24" customFormat="false" ht="21.75" hidden="false" customHeight="true" outlineLevel="0" collapsed="false">
      <c r="B24" s="185" t="s">
        <v>198</v>
      </c>
    </row>
    <row r="25" customFormat="false" ht="19.5" hidden="false" customHeight="true" outlineLevel="0" collapsed="false">
      <c r="B25" s="186" t="s">
        <v>199</v>
      </c>
      <c r="C25" s="186"/>
      <c r="D25" s="186"/>
      <c r="E25" s="186"/>
      <c r="F25" s="186"/>
      <c r="G25" s="187" t="s">
        <v>200</v>
      </c>
      <c r="H25" s="187"/>
    </row>
    <row r="26" customFormat="false" ht="19.5" hidden="false" customHeight="true" outlineLevel="0" collapsed="false">
      <c r="B26" s="188" t="s">
        <v>201</v>
      </c>
      <c r="C26" s="188"/>
      <c r="D26" s="188"/>
      <c r="E26" s="188"/>
      <c r="F26" s="188"/>
      <c r="G26" s="189" t="s">
        <v>197</v>
      </c>
      <c r="H26" s="189"/>
    </row>
    <row r="27" customFormat="false" ht="19.5" hidden="false" customHeight="true" outlineLevel="0" collapsed="false">
      <c r="B27" s="190" t="s">
        <v>202</v>
      </c>
      <c r="C27" s="190"/>
      <c r="D27" s="190"/>
      <c r="E27" s="190"/>
      <c r="F27" s="190"/>
      <c r="G27" s="191" t="s">
        <v>192</v>
      </c>
      <c r="H27" s="191"/>
    </row>
  </sheetData>
  <mergeCells count="9">
    <mergeCell ref="B2:H2"/>
    <mergeCell ref="B3:H3"/>
    <mergeCell ref="B6:H9"/>
    <mergeCell ref="B25:F25"/>
    <mergeCell ref="G25:H25"/>
    <mergeCell ref="B26:F26"/>
    <mergeCell ref="G26:H26"/>
    <mergeCell ref="B27:F27"/>
    <mergeCell ref="G27:H2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8" min="4" style="0" width="12"/>
  </cols>
  <sheetData>
    <row r="2" customFormat="false" ht="30" hidden="false" customHeight="true" outlineLevel="0" collapsed="false">
      <c r="B2" s="192" t="s">
        <v>203</v>
      </c>
      <c r="C2" s="192"/>
      <c r="D2" s="192"/>
      <c r="E2" s="192"/>
      <c r="F2" s="192"/>
      <c r="G2" s="192"/>
      <c r="H2" s="192"/>
    </row>
    <row r="3" customFormat="false" ht="15.75" hidden="false" customHeight="true" outlineLevel="0" collapsed="false">
      <c r="B3" s="193" t="s">
        <v>204</v>
      </c>
      <c r="C3" s="193"/>
      <c r="D3" s="193"/>
      <c r="E3" s="193"/>
      <c r="F3" s="193"/>
      <c r="G3" s="193"/>
      <c r="H3" s="193"/>
    </row>
    <row r="4" customFormat="false" ht="15" hidden="false" customHeight="false" outlineLevel="0" collapsed="false">
      <c r="B4" s="3" t="s">
        <v>27</v>
      </c>
    </row>
    <row r="6" customFormat="false" ht="15" hidden="false" customHeight="true" outlineLevel="0" collapsed="false">
      <c r="B6" s="194" t="s">
        <v>205</v>
      </c>
      <c r="C6" s="194"/>
      <c r="D6" s="194"/>
      <c r="E6" s="194"/>
      <c r="F6" s="194"/>
      <c r="G6" s="194"/>
      <c r="H6" s="194"/>
    </row>
    <row r="7" customFormat="false" ht="15" hidden="false" customHeight="true" outlineLevel="0" collapsed="false">
      <c r="B7" s="194"/>
      <c r="C7" s="194"/>
      <c r="D7" s="194"/>
      <c r="E7" s="194"/>
      <c r="F7" s="194"/>
      <c r="G7" s="194"/>
      <c r="H7" s="194"/>
    </row>
    <row r="8" customFormat="false" ht="15" hidden="false" customHeight="true" outlineLevel="0" collapsed="false">
      <c r="B8" s="194"/>
      <c r="C8" s="194"/>
      <c r="D8" s="194"/>
      <c r="E8" s="194"/>
      <c r="F8" s="194"/>
      <c r="G8" s="194"/>
      <c r="H8" s="194"/>
    </row>
    <row r="9" customFormat="false" ht="21.75" hidden="false" customHeight="true" outlineLevel="0" collapsed="false">
      <c r="B9" s="195" t="s">
        <v>206</v>
      </c>
      <c r="C9" s="196" t="s">
        <v>207</v>
      </c>
    </row>
    <row r="10" customFormat="false" ht="15" hidden="false" customHeight="false" outlineLevel="0" collapsed="false">
      <c r="B10" s="197" t="n">
        <v>1</v>
      </c>
      <c r="C10" s="198" t="n">
        <v>4</v>
      </c>
    </row>
    <row r="11" customFormat="false" ht="15" hidden="false" customHeight="false" outlineLevel="0" collapsed="false">
      <c r="B11" s="199" t="n">
        <v>2</v>
      </c>
      <c r="C11" s="200" t="n">
        <v>5</v>
      </c>
    </row>
    <row r="12" customFormat="false" ht="15" hidden="false" customHeight="false" outlineLevel="0" collapsed="false">
      <c r="B12" s="197" t="n">
        <v>2</v>
      </c>
      <c r="C12" s="198" t="n">
        <v>5.5</v>
      </c>
    </row>
    <row r="13" customFormat="false" ht="15" hidden="false" customHeight="false" outlineLevel="0" collapsed="false">
      <c r="B13" s="199" t="n">
        <v>3</v>
      </c>
      <c r="C13" s="200" t="n">
        <v>6</v>
      </c>
    </row>
    <row r="14" customFormat="false" ht="15" hidden="false" customHeight="false" outlineLevel="0" collapsed="false">
      <c r="B14" s="197" t="n">
        <v>4</v>
      </c>
      <c r="C14" s="198" t="n">
        <v>6.5</v>
      </c>
    </row>
    <row r="15" customFormat="false" ht="15" hidden="false" customHeight="false" outlineLevel="0" collapsed="false">
      <c r="B15" s="199" t="n">
        <v>4</v>
      </c>
      <c r="C15" s="200" t="n">
        <v>7</v>
      </c>
    </row>
    <row r="16" customFormat="false" ht="15" hidden="false" customHeight="false" outlineLevel="0" collapsed="false">
      <c r="B16" s="197" t="n">
        <v>5</v>
      </c>
      <c r="C16" s="198" t="n">
        <v>7.5</v>
      </c>
    </row>
    <row r="17" customFormat="false" ht="15" hidden="false" customHeight="false" outlineLevel="0" collapsed="false">
      <c r="B17" s="199" t="n">
        <v>6</v>
      </c>
      <c r="C17" s="200" t="n">
        <v>8</v>
      </c>
    </row>
    <row r="18" customFormat="false" ht="15" hidden="false" customHeight="false" outlineLevel="0" collapsed="false">
      <c r="B18" s="197" t="n">
        <v>7</v>
      </c>
      <c r="C18" s="198" t="n">
        <v>8.5</v>
      </c>
    </row>
    <row r="19" customFormat="false" ht="15" hidden="false" customHeight="false" outlineLevel="0" collapsed="false">
      <c r="B19" s="201" t="n">
        <v>8</v>
      </c>
      <c r="C19" s="202" t="n">
        <v>9.5</v>
      </c>
    </row>
    <row r="21" customFormat="false" ht="21.75" hidden="false" customHeight="true" outlineLevel="0" collapsed="false">
      <c r="B21" s="203" t="s">
        <v>208</v>
      </c>
    </row>
    <row r="22" customFormat="false" ht="19.5" hidden="false" customHeight="true" outlineLevel="0" collapsed="false">
      <c r="B22" s="204" t="s">
        <v>209</v>
      </c>
      <c r="C22" s="204"/>
      <c r="D22" s="204"/>
      <c r="E22" s="204"/>
      <c r="F22" s="204"/>
      <c r="G22" s="205" t="s">
        <v>210</v>
      </c>
      <c r="H22" s="205"/>
    </row>
    <row r="23" customFormat="false" ht="19.5" hidden="false" customHeight="true" outlineLevel="0" collapsed="false">
      <c r="B23" s="206" t="s">
        <v>211</v>
      </c>
      <c r="C23" s="206"/>
      <c r="D23" s="206"/>
      <c r="E23" s="206"/>
      <c r="F23" s="206"/>
      <c r="G23" s="207" t="s">
        <v>212</v>
      </c>
      <c r="H23" s="207"/>
    </row>
    <row r="24" customFormat="false" ht="19.5" hidden="false" customHeight="true" outlineLevel="0" collapsed="false">
      <c r="B24" s="208" t="s">
        <v>213</v>
      </c>
      <c r="C24" s="208"/>
      <c r="D24" s="208"/>
      <c r="E24" s="208"/>
      <c r="F24" s="208"/>
      <c r="G24" s="209" t="s">
        <v>72</v>
      </c>
      <c r="H24" s="209"/>
    </row>
  </sheetData>
  <mergeCells count="9">
    <mergeCell ref="B2:H2"/>
    <mergeCell ref="B3:H3"/>
    <mergeCell ref="B6:H8"/>
    <mergeCell ref="B22:F22"/>
    <mergeCell ref="G22:H22"/>
    <mergeCell ref="B23:F23"/>
    <mergeCell ref="G23:H23"/>
    <mergeCell ref="B24:F24"/>
    <mergeCell ref="G24:H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2026-07-31T19:05:40Z</dcterms:created>
  <dc:creator>openpyxl</dc:creator>
  <dc:description/>
  <dc:language>en-US</dc:language>
  <cp:lastModifiedBy/>
  <dcterms:modified xsi:type="dcterms:W3CDTF">2026-07-31T19:05:43Z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