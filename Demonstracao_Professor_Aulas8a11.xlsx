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ício" sheetId="1" state="visible" r:id="rId3"/>
    <sheet name="Aula 8 - Proteger" sheetId="2" state="visible" r:id="rId4"/>
    <sheet name="Aula 9 - PROCV" sheetId="3" state="visible" r:id="rId5"/>
    <sheet name="Aula 10 - Texto" sheetId="4" state="visible" r:id="rId6"/>
    <sheet name="Aula 11 - Eixo Secundario" sheetId="5" state="visible" r:id="rId7"/>
    <sheet name="Aula 11 - Dispersa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<sst xmlns="http://schemas.openxmlformats.org/spreadsheetml/2006/main" count="132" uniqueCount="125">
  <si>
    <t xml:space="preserve">  DEMONSTRAÇÃO DO PROFESSOR — EXCEL 2019</t>
  </si>
  <si>
    <t xml:space="preserve">  Aulas 8 a 11 • tudo já aplicado, para projetar e explicar</t>
  </si>
  <si>
    <t xml:space="preserve">Como usar em aula:</t>
  </si>
  <si>
    <t xml:space="preserve">1. Cada aba mostra uma ferramenta JÁ FUNCIONANDO. Projete e explique olhando o resultado.</t>
  </si>
  <si>
    <t xml:space="preserve">2. As caixas O QUE É / COMO EU FIZ / MOSTRE AO VIVO guiam a sua fala.</t>
  </si>
  <si>
    <t xml:space="preserve">3. No PROCV, clique na célula do resultado e mostre a fórmula lá em cima (na Barra de Fórmulas).</t>
  </si>
  <si>
    <t xml:space="preserve">4. Truque de ouro: mude um dado na frente deles e mostre o resultado/gráfico mudando sozinho.</t>
  </si>
  <si>
    <t xml:space="preserve">5. Depois, entregue o caderno de exercícios para eles repetirem o que viram.</t>
  </si>
  <si>
    <t xml:space="preserve">Roteiro das abas:</t>
  </si>
  <si>
    <t xml:space="preserve">  Aula 8 — Proteger</t>
  </si>
  <si>
    <t xml:space="preserve">Travar células e proteger com senha</t>
  </si>
  <si>
    <t xml:space="preserve">  Aula 9 — PROCV</t>
  </si>
  <si>
    <t xml:space="preserve">Buscar dados pelo código (com raio-x da fórmula)</t>
  </si>
  <si>
    <t xml:space="preserve">  Aula 10 — Texto</t>
  </si>
  <si>
    <t xml:space="preserve">Juntar, extrair e padronizar textos</t>
  </si>
  <si>
    <t xml:space="preserve">  Aula 11 — Eixo 2ário</t>
  </si>
  <si>
    <t xml:space="preserve">Colunas + linha com duas escalas</t>
  </si>
  <si>
    <t xml:space="preserve">  Aula 11 — Dispersão</t>
  </si>
  <si>
    <t xml:space="preserve">Relação entre duas medidas (X × Y)</t>
  </si>
  <si>
    <t xml:space="preserve">  AULA 8 — PROTEGER A PLANILHA</t>
  </si>
  <si>
    <t xml:space="preserve">  Travar o que não pode ser mexido</t>
  </si>
  <si>
    <t xml:space="preserve">O QUE É:   proteger impede que alguém altere células importantes por engano. Você escolhe o que fica travado e o que fica livre. Depois trava tudo com uma senha.</t>
  </si>
  <si>
    <t xml:space="preserve">COMO EU FIZ:   deixei o ESTOQUE livre (Formatar Células &gt; Proteção &gt; desmarquei Bloqueadas) e protegi a planilha em Revisão &gt; Proteger Planilha. Esta aba já está PROTEGIDA (senha: aula123).</t>
  </si>
  <si>
    <t xml:space="preserve">Produto</t>
  </si>
  <si>
    <t xml:space="preserve">Preço (R$)</t>
  </si>
  <si>
    <t xml:space="preserve">Estoque</t>
  </si>
  <si>
    <t xml:space="preserve">Arroz</t>
  </si>
  <si>
    <t xml:space="preserve">Feijão</t>
  </si>
  <si>
    <t xml:space="preserve">Café</t>
  </si>
  <si>
    <t xml:space="preserve">Açúcar</t>
  </si>
  <si>
    <t xml:space="preserve">MOSTRE AO VIVO:   tente digitar sobre um PREÇO — o Excel bloqueia e avisa. Agora mude um número do ESTOQUE — esse deixa, porque eu liberei. Em Revisão &gt; Desproteger (aula123) tudo volta a ser editável.</t>
  </si>
  <si>
    <t xml:space="preserve">  AULA 9 — PROCV FUNCIONANDO</t>
  </si>
  <si>
    <t xml:space="preserve">  A função busca o produto e o preço pelo código, sozinha</t>
  </si>
  <si>
    <t xml:space="preserve">O QUE É:   o PROCV procura um código na 1ª coluna da tabela e traz um dado da mesma linha. Aqui, digito o código à direita e ele acha o Produto e o Preço na tabela da esquerda.</t>
  </si>
  <si>
    <t xml:space="preserve">Código</t>
  </si>
  <si>
    <t xml:space="preserve">BUSCA (digite o código)</t>
  </si>
  <si>
    <t xml:space="preserve">A01</t>
  </si>
  <si>
    <t xml:space="preserve">Teclado</t>
  </si>
  <si>
    <t xml:space="preserve">Código:</t>
  </si>
  <si>
    <t xml:space="preserve">A06</t>
  </si>
  <si>
    <t xml:space="preserve">A02</t>
  </si>
  <si>
    <t xml:space="preserve">Mouse</t>
  </si>
  <si>
    <t xml:space="preserve">Produto:</t>
  </si>
  <si>
    <t xml:space="preserve">A03</t>
  </si>
  <si>
    <t xml:space="preserve">Monitor</t>
  </si>
  <si>
    <t xml:space="preserve">Preço:</t>
  </si>
  <si>
    <t xml:space="preserve">A04</t>
  </si>
  <si>
    <t xml:space="preserve">Webcam</t>
  </si>
  <si>
    <t xml:space="preserve">A05</t>
  </si>
  <si>
    <t xml:space="preserve">Headset</t>
  </si>
  <si>
    <t xml:space="preserve">Notebook</t>
  </si>
  <si>
    <t xml:space="preserve">A07</t>
  </si>
  <si>
    <t xml:space="preserve">Impressora</t>
  </si>
  <si>
    <t xml:space="preserve">A08</t>
  </si>
  <si>
    <t xml:space="preserve">Pendrive</t>
  </si>
  <si>
    <t xml:space="preserve">Raio-x da fórmula (explique cada pedaço)</t>
  </si>
  <si>
    <t xml:space="preserve">=PROCV(G9 ; $B$9:$D$16 ; 2 ; FALSO)</t>
  </si>
  <si>
    <t xml:space="preserve">G9</t>
  </si>
  <si>
    <t xml:space="preserve">O QUE buscar — a célula onde você digita o código (ex.: A06).</t>
  </si>
  <si>
    <t xml:space="preserve">$B$9:$D$16</t>
  </si>
  <si>
    <t xml:space="preserve">ONDE buscar — a tabela. Os $ TRAVAM o endereço para a fórmula não escorregar ao arrastar.</t>
  </si>
  <si>
    <t xml:space="preserve">2</t>
  </si>
  <si>
    <t xml:space="preserve">QUAL coluna trazer — contando da 1ª da tabela: B=1, C=2, D=3. O 2 traz o Produto (coluna C).</t>
  </si>
  <si>
    <t xml:space="preserve">FALSO</t>
  </si>
  <si>
    <t xml:space="preserve">Correspondência EXATA — só serve se achar o código igualzinho. Sempre use FALSO (ou 0).</t>
  </si>
  <si>
    <t xml:space="preserve">MOSTRE AO VIVO:   troque o código na célula amarela para A03 (Monitor) ou A01 (Teclado) e mostre o Produto e o Preço mudando na hora. É o momento em que a ficha cai!</t>
  </si>
  <si>
    <t xml:space="preserve">  AULA 10 — FÓRMULAS DE TEXTO</t>
  </si>
  <si>
    <t xml:space="preserve">  Juntar, extrair e padronizar palavras</t>
  </si>
  <si>
    <t xml:space="preserve">O QUE É:   dá para tratar texto com fórmula: juntar (CONCATENAR), separar pedaços (ESQUERDA/DIREITA), contar letras (NÚM.CARACT) e padronizar (MAIÚSCULA/PRI.MAIÚSCULA). Tudo já resolvido abaixo.</t>
  </si>
  <si>
    <t xml:space="preserve">COMO EU FIZ:   cada coluna colorida tem uma fórmula diferente pegando o Nome, o Sobrenome ou a Matrícula. Clique nelas para ver a fórmula na barra.</t>
  </si>
  <si>
    <t xml:space="preserve">Nome</t>
  </si>
  <si>
    <t xml:space="preserve">Sobrenome</t>
  </si>
  <si>
    <t xml:space="preserve">Matrícula</t>
  </si>
  <si>
    <t xml:space="preserve">Nome Completo</t>
  </si>
  <si>
    <t xml:space="preserve">Ano (matríc.)</t>
  </si>
  <si>
    <t xml:space="preserve">Letras</t>
  </si>
  <si>
    <t xml:space="preserve">Nome ARRUMADO</t>
  </si>
  <si>
    <t xml:space="preserve">MARIA</t>
  </si>
  <si>
    <t xml:space="preserve">Silva</t>
  </si>
  <si>
    <t xml:space="preserve">2024001</t>
  </si>
  <si>
    <t xml:space="preserve">joão</t>
  </si>
  <si>
    <t xml:space="preserve">souza</t>
  </si>
  <si>
    <t xml:space="preserve">2024002</t>
  </si>
  <si>
    <t xml:space="preserve">Ana</t>
  </si>
  <si>
    <t xml:space="preserve">COSTA</t>
  </si>
  <si>
    <t xml:space="preserve">2024003</t>
  </si>
  <si>
    <t xml:space="preserve">PEDRO</t>
  </si>
  <si>
    <t xml:space="preserve">lima</t>
  </si>
  <si>
    <t xml:space="preserve">2024004</t>
  </si>
  <si>
    <t xml:space="preserve">Lucas</t>
  </si>
  <si>
    <t xml:space="preserve">Alves</t>
  </si>
  <si>
    <t xml:space="preserve">2024005</t>
  </si>
  <si>
    <t xml:space="preserve">Quais fórmulas eu usei em cada coluna</t>
  </si>
  <si>
    <t xml:space="preserve">=CONCATENAR(PRI.MAIÚSCULA(Nome);" ";PRI.MAIÚSCULA(Sobrenome))</t>
  </si>
  <si>
    <t xml:space="preserve">=ESQUERDA(Matrícula;4)</t>
  </si>
  <si>
    <t xml:space="preserve">=NÚM.CARACT(Nome)</t>
  </si>
  <si>
    <t xml:space="preserve">=MAIÚSCULA(Nome)</t>
  </si>
  <si>
    <t xml:space="preserve">MOSTRE AO VIVO:   troque um nome digitado em minúsculo (ex.: joão) e mostre as colunas se arrumando sozinhas: o Nome Completo já sai com a inicial maiúscula.</t>
  </si>
  <si>
    <t xml:space="preserve">  AULA 11 — GRÁFICO COM 2 EIXOS</t>
  </si>
  <si>
    <t xml:space="preserve">  Juntar dados de tamanhos bem diferentes</t>
  </si>
  <si>
    <t xml:space="preserve">O QUE É:   Temperatura (~30) e Sorvetes (~500) têm escalas muito diferentes. Num gráfico só, a temperatura sumiria. O EIXO SECUNDÁRIO dá uma segunda régua (à direita) para ela aparecer.</t>
  </si>
  <si>
    <t xml:space="preserve">COMO EU FIZ:   fiz colunas de Sorvetes + linha de Temperatura no eixo secundário. Já vem pronto: repare que há uma régua de valores de cada lado do gráfico.</t>
  </si>
  <si>
    <t xml:space="preserve">Mês</t>
  </si>
  <si>
    <t xml:space="preserve">Temperatura (°C)</t>
  </si>
  <si>
    <t xml:space="preserve">Sorvetes vendidos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</si>
  <si>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</si>
  <si>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</si>
  <si>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</si>
  <si>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</si>
  <si>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</si>
  <si>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</si>
  <si>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</si>
  <si>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</si>
  <si>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</si>
  <si>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</si>
  <si>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</si>
  <si>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</si>
  <si>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MOSTRE AO VIVO:   siga a linha da temperatura: quando ela sobe (verão), as colunas de sorvete também sobem. Sem o 2º eixo, a linha seria quase invisível lá embaixo.</t>
  </si>
  <si>
    <t xml:space="preserve">  AULA 11 — GRÁFICO DE DISPERSÃO</t>
  </si>
  <si>
    <t xml:space="preserve">  A relação entre duas medidas (X × Y)</t>
  </si>
  <si>
    <t xml:space="preserve">O QUE É:   cada aluno é um pontinho: horas de estudo (X) x nota (Y). Se os pontos sobem juntos, há relação POSITIVA. É assim que se enxerga se uma coisa influencia a outra.</t>
  </si>
  <si>
    <t xml:space="preserve">COMO EU FIZ:   selecionei as duas colunas de números &gt; Inserir &gt; Dispersão. Depois adicionei uma Linha de Tendência para mostrar o rumo geral da nuvem.</t>
  </si>
  <si>
    <t xml:space="preserve">Horas de estudo</t>
  </si>
  <si>
    <t xml:space="preserve">Nota na prova</t>
  </si>
  <si>
    <t xml:space="preserve">MOSTRE AO VIVO:   passe o dedo na tela: os pontos sobem da esquerda para a direita. Conclusão que a turma tira sozinha: quem estuda mais tende a tirar nota maior.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</si>
</sst>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R$-416]\ #,##0.00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2"/>
      <color rgb="FF1F3864"/>
      <name val="Consolas"/>
      <family val="0"/>
      <charset val="1"/>
    </font>
    <font>
      <b val="true"/>
      <sz val="10"/>
      <color rgb="FFC55A11"/>
      <name val="Consolas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1F3864"/>
      <name val="Consolas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F9E"/>
        <bgColor rgb="FF3366FF"/>
      </patternFill>
    </fill>
    <fill>
      <patternFill patternType="solid">
        <fgColor rgb="FFEAF2FB"/>
        <bgColor rgb="FFEEF3FB"/>
      </patternFill>
    </fill>
    <fill>
      <patternFill patternType="solid">
        <fgColor rgb="FFFBF7E6"/>
        <bgColor rgb="FFF9F9F9"/>
      </patternFill>
    </fill>
    <fill>
      <patternFill patternType="solid">
        <fgColor rgb="FFE2EFDA"/>
        <bgColor rgb="FFEAF2FB"/>
      </patternFill>
    </fill>
    <fill>
      <patternFill patternType="solid">
        <fgColor rgb="FFEEF3FB"/>
        <bgColor rgb="FFEAF2FB"/>
      </patternFill>
    </fill>
    <fill>
      <patternFill patternType="solid">
        <fgColor rgb="FFC55A11"/>
        <bgColor rgb="FFBE4B48"/>
      </patternFill>
    </fill>
    <fill>
      <patternFill patternType="solid">
        <fgColor rgb="FFFFF2CC"/>
        <bgColor rgb="FFFBF7E6"/>
      </patternFill>
    </fill>
  </fills>
  <borders count="17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AEB9CA"/>
      </left>
      <right style="medium">
        <color rgb="FFAEB9CA"/>
      </right>
      <top style="medium">
        <color rgb="FFAEB9CA"/>
      </top>
      <bottom style="medium">
        <color rgb="FFAEB9CA"/>
      </bottom>
      <diagonal/>
    </border>
    <border diagonalUp="false" diagonalDown="false">
      <left style="medium">
        <color rgb="FF1F3864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3864"/>
      </right>
      <top style="medium">
        <color rgb="FF1F3864"/>
      </top>
      <bottom style="thin">
        <color rgb="FFBFBFBF"/>
      </bottom>
      <diagonal/>
    </border>
    <border diagonalUp="false" diagonalDown="false">
      <left style="medium">
        <color rgb="FF1F38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1F3864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1F3864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medium">
        <color rgb="FF1F3864"/>
      </bottom>
      <diagonal/>
    </border>
    <border diagonalUp="false" diagonalDown="false">
      <left style="thin">
        <color rgb="FFBFBFBF"/>
      </left>
      <right style="medium">
        <color rgb="FF1F3864"/>
      </right>
      <top style="thin">
        <color rgb="FFBFBFBF"/>
      </top>
      <bottom style="medium">
        <color rgb="FF1F3864"/>
      </bottom>
      <diagonal/>
    </border>
    <border diagonalUp="false" diagonalDown="false">
      <left style="medium">
        <color rgb="FFC55A11"/>
      </left>
      <right style="medium">
        <color rgb="FFC55A11"/>
      </right>
      <top style="medium">
        <color rgb="FFC55A11"/>
      </top>
      <bottom style="thin">
        <color rgb="FFBFBFBF"/>
      </bottom>
      <diagonal/>
    </border>
    <border diagonalUp="false" diagonalDown="false">
      <left style="medium">
        <color rgb="FFC55A11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medium">
        <color rgb="FFC55A11"/>
      </right>
      <top style="thin">
        <color rgb="FFBFBFBF"/>
      </top>
      <bottom style="thin">
        <color rgb="FFBFBFBF"/>
      </bottom>
      <diagonal/>
    </border>
    <border diagonalUp="false" diagonalDown="false">
      <left style="medium">
        <color rgb="FFC55A11"/>
      </left>
      <right style="thin">
        <color rgb="FFBFBFBF"/>
      </right>
      <top style="thin">
        <color rgb="FFBFBFBF"/>
      </top>
      <bottom style="medium">
        <color rgb="FFC55A11"/>
      </bottom>
      <diagonal/>
    </border>
    <border diagonalUp="false" diagonalDown="false">
      <left style="thin">
        <color rgb="FFBFBFBF"/>
      </left>
      <right style="medium">
        <color rgb="FFC55A11"/>
      </right>
      <top style="thin">
        <color rgb="FFBFBFBF"/>
      </top>
      <bottom style="medium">
        <color rgb="FFC55A11"/>
      </bottom>
      <diagonal/>
    </border>
    <border diagonalUp="false" diagonalDown="false">
      <left style="medium">
        <color rgb="FFD9C97A"/>
      </left>
      <right style="medium">
        <color rgb="FFD9C97A"/>
      </right>
      <top style="medium">
        <color rgb="FFD9C97A"/>
      </top>
      <bottom style="medium">
        <color rgb="FFD9C97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7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7" fillId="7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9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6" borderId="1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8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7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9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5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BE4B48"/>
      <rgbColor rgb="FFFFF2CC"/>
      <rgbColor rgb="FFEAF2FB"/>
      <rgbColor rgb="FF660066"/>
      <rgbColor rgb="FFFF8080"/>
      <rgbColor rgb="FF2E5F9E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E2EFDA"/>
      <rgbColor rgb="FFFBF7E6"/>
      <rgbColor rgb="FFAEB9CA"/>
      <rgbColor rgb="FFF9F9F9"/>
      <rgbColor rgb="FFCC99FF"/>
      <rgbColor rgb="FFD9C97A"/>
      <rgbColor rgb="FF3366FF"/>
      <rgbColor rgb="FF33CCCC"/>
      <rgbColor rgb="FF99CC00"/>
      <rgbColor rgb="FFFFCC00"/>
      <rgbColor rgb="FFFF9900"/>
      <rgbColor rgb="FFC55A11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Temperatura x Venda de Sorvetes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'Aula 11 - Eixo Secundario'!D10</c:f>
              <c:strCache>
                <c:ptCount val="1"/>
                <c:pt idx="0">
                  <c:v>Sorvetes vendidos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'Aula 11 - Eixo Secundario'!$B$11:$B$22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'Aula 11 - Eixo Secundario'!$D$11:$D$22</c:f>
              <c:numCache>
                <c:formatCode>General</c:formatCode>
                <c:ptCount val="12"/>
                <c:pt idx="0">
                  <c:v>480</c:v>
                </c:pt>
                <c:pt idx="1">
                  <c:v>510</c:v>
                </c:pt>
                <c:pt idx="2">
                  <c:v>430</c:v>
                </c:pt>
                <c:pt idx="3">
                  <c:v>350</c:v>
                </c:pt>
                <c:pt idx="4">
                  <c:v>260</c:v>
                </c:pt>
                <c:pt idx="5">
                  <c:v>180</c:v>
                </c:pt>
                <c:pt idx="6">
                  <c:v>150</c:v>
                </c:pt>
                <c:pt idx="7">
                  <c:v>200</c:v>
                </c:pt>
                <c:pt idx="8">
                  <c:v>300</c:v>
                </c:pt>
                <c:pt idx="9">
                  <c:v>380</c:v>
                </c:pt>
                <c:pt idx="10">
                  <c:v>450</c:v>
                </c:pt>
                <c:pt idx="11">
                  <c:v>520</c:v>
                </c:pt>
              </c:numCache>
            </c:numRef>
          </c:val>
        </c:ser>
        <c:gapWidth val="150"/>
        <c:overlap val="0"/>
        <c:axId val="63064439"/>
        <c:axId val="21180097"/>
      </c:barChart>
      <c:lineChart>
        <c:grouping val="standard"/>
        <c:varyColors val="0"/>
        <c:ser>
          <c:idx val="1"/>
          <c:order val="1"/>
          <c:tx>
            <c:strRef>
              <c:f>'Aula 11 - Eixo Secundario'!C10</c:f>
              <c:strCache>
                <c:ptCount val="1"/>
                <c:pt idx="0">
                  <c:v>Temperatura (°C)</c:v>
                </c:pt>
              </c:strCache>
            </c:strRef>
          </c:tx>
          <c:spPr>
            <a:solidFill>
              <a:srgbClr val="be4b48"/>
            </a:solidFill>
            <a:ln w="4752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'Aula 11 - Eixo Secundario'!$B$11:$B$22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'Aula 11 - Eixo Secundario'!$C$11:$C$22</c:f>
              <c:numCache>
                <c:formatCode>General</c:formatCode>
                <c:ptCount val="12"/>
                <c:pt idx="0">
                  <c:v>32</c:v>
                </c:pt>
                <c:pt idx="1">
                  <c:v>33</c:v>
                </c:pt>
                <c:pt idx="2">
                  <c:v>30</c:v>
                </c:pt>
                <c:pt idx="3">
                  <c:v>27</c:v>
                </c:pt>
                <c:pt idx="4">
                  <c:v>24</c:v>
                </c:pt>
                <c:pt idx="5">
                  <c:v>21</c:v>
                </c:pt>
                <c:pt idx="6">
                  <c:v>20</c:v>
                </c:pt>
                <c:pt idx="7">
                  <c:v>22</c:v>
                </c:pt>
                <c:pt idx="8">
                  <c:v>25</c:v>
                </c:pt>
                <c:pt idx="9">
                  <c:v>28</c:v>
                </c:pt>
                <c:pt idx="10">
                  <c:v>30</c:v>
                </c:pt>
                <c:pt idx="11">
                  <c:v>33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15263160"/>
        <c:axId val="74200285"/>
      </c:lineChart>
      <c:catAx>
        <c:axId val="6306443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180097"/>
        <c:crosses val="autoZero"/>
        <c:auto val="1"/>
        <c:lblAlgn val="ctr"/>
        <c:lblOffset val="100"/>
        <c:noMultiLvlLbl val="0"/>
      </c:catAx>
      <c:valAx>
        <c:axId val="211800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Sorvetes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064439"/>
        <c:crosses val="autoZero"/>
        <c:crossBetween val="between"/>
      </c:valAx>
      <c:catAx>
        <c:axId val="15263160"/>
        <c:scaling>
          <c:orientation val="minMax"/>
        </c:scaling>
        <c:delete val="0"/>
        <c:axPos val="t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200285"/>
        <c:crosses val="autoZero"/>
        <c:auto val="1"/>
        <c:lblAlgn val="ctr"/>
        <c:lblOffset val="100"/>
        <c:noMultiLvlLbl val="0"/>
      </c:catAx>
      <c:valAx>
        <c:axId val="74200285"/>
        <c:scaling>
          <c:orientation val="minMax"/>
        </c:scaling>
        <c:delete val="0"/>
        <c:axPos val="r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Temperatura (°C)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263160"/>
        <c:crosses val="max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Horas de Estudo x Nota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"Alunos"</c:f>
              <c:strCache>
                <c:ptCount val="1"/>
                <c:pt idx="0">
                  <c:v>Alunos</c:v>
                </c:pt>
              </c:strCache>
            </c:strRef>
          </c:tx>
          <c:spPr>
            <a:solidFill>
              <a:srgbClr val="ffffff"/>
            </a:solidFill>
            <a:ln w="47520">
              <a:noFill/>
            </a:ln>
          </c:spPr>
          <c:marker>
            <c:symbol val="circle"/>
            <c:size val="5"/>
            <c:spPr>
              <a:noFill/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'Aula 11 - Dispersao'!$B$11:$B$20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</c:numCache>
            </c:numRef>
          </c:xVal>
          <c:yVal>
            <c:numRef>
              <c:f>'Aula 11 - Dispersao'!$C$11:$C$20</c:f>
              <c:numCache>
                <c:formatCode>General</c:formatCode>
                <c:ptCount val="10"/>
                <c:pt idx="0">
                  <c:v>4</c:v>
                </c:pt>
                <c:pt idx="1">
                  <c:v>5</c:v>
                </c:pt>
                <c:pt idx="2">
                  <c:v>5.5</c:v>
                </c:pt>
                <c:pt idx="3">
                  <c:v>6</c:v>
                </c:pt>
                <c:pt idx="4">
                  <c:v>6.5</c:v>
                </c:pt>
                <c:pt idx="5">
                  <c:v>7</c:v>
                </c:pt>
                <c:pt idx="6">
                  <c:v>7.5</c:v>
                </c:pt>
                <c:pt idx="7">
                  <c:v>8</c:v>
                </c:pt>
                <c:pt idx="8">
                  <c:v>8.5</c:v>
                </c:pt>
                <c:pt idx="9">
                  <c:v>9.5</c:v>
                </c:pt>
              </c:numCache>
            </c:numRef>
          </c:yVal>
          <c:smooth val="1"/>
        </c:ser>
        <c:axId val="74098236"/>
        <c:axId val="88715297"/>
      </c:scatterChart>
      <c:valAx>
        <c:axId val="7409823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Horas de estudo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715297"/>
        <c:crosses val="autoZero"/>
        <c:crossBetween val="midCat"/>
      </c:valAx>
      <c:valAx>
        <c:axId val="8871529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409823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23</xdr:row>
      <xdr:rowOff>0</xdr:rowOff>
    </xdr:from>
    <xdr:to>
      <xdr:col>6</xdr:col>
      <xdr:colOff>825480</xdr:colOff>
      <xdr:row>38</xdr:row>
      <xdr:rowOff>22320</xdr:rowOff>
    </xdr:to>
    <xdr:graphicFrame>
      <xdr:nvGraphicFramePr>
        <xdr:cNvPr id="0" name="Chart 1"/>
        <xdr:cNvGraphicFramePr/>
      </xdr:nvGraphicFramePr>
      <xdr:xfrm>
        <a:off x="211320" y="466740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747360</xdr:colOff>
      <xdr:row>38</xdr:row>
      <xdr:rowOff>1080</xdr:rowOff>
    </xdr:to>
    <xdr:graphicFrame>
      <xdr:nvGraphicFramePr>
        <xdr:cNvPr id="1" name="Chart 1"/>
        <xdr:cNvGraphicFramePr/>
      </xdr:nvGraphicFramePr>
      <xdr:xfrm>
        <a:off x="211320" y="428616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1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62"/>
  </cols>
  <sheetData>
    <row r="2" customFormat="false" ht="30" hidden="false" customHeight="true" outlineLevel="0" collapsed="false">
      <c r="B2" s="1" t="s">
        <v>0</v>
      </c>
      <c r="C2" s="1"/>
    </row>
    <row r="3" customFormat="false" ht="15.75" hidden="false" customHeight="true" outlineLevel="0" collapsed="false">
      <c r="B3" s="2" t="s">
        <v>1</v>
      </c>
      <c r="C3" s="2"/>
    </row>
    <row r="5" customFormat="false" ht="19.5" hidden="false" customHeight="true" outlineLevel="0" collapsed="false">
      <c r="B5" s="3" t="s">
        <v>2</v>
      </c>
    </row>
    <row r="6" customFormat="false" ht="25.5" hidden="false" customHeight="true" outlineLevel="0" collapsed="false">
      <c r="C6" s="4" t="s">
        <v>3</v>
      </c>
    </row>
    <row r="7" customFormat="false" ht="25.5" hidden="false" customHeight="true" outlineLevel="0" collapsed="false">
      <c r="C7" s="4" t="s">
        <v>4</v>
      </c>
    </row>
    <row r="8" customFormat="false" ht="25.5" hidden="false" customHeight="true" outlineLevel="0" collapsed="false">
      <c r="C8" s="4" t="s">
        <v>5</v>
      </c>
    </row>
    <row r="9" customFormat="false" ht="25.5" hidden="false" customHeight="true" outlineLevel="0" collapsed="false">
      <c r="C9" s="4" t="s">
        <v>6</v>
      </c>
    </row>
    <row r="10" customFormat="false" ht="25.5" hidden="false" customHeight="true" outlineLevel="0" collapsed="false">
      <c r="C10" s="4" t="s">
        <v>7</v>
      </c>
    </row>
    <row r="12" customFormat="false" ht="15" hidden="false" customHeight="false" outlineLevel="0" collapsed="false">
      <c r="B12" s="3" t="s">
        <v>8</v>
      </c>
    </row>
    <row r="13" customFormat="false" ht="24" hidden="false" customHeight="true" outlineLevel="0" collapsed="false">
      <c r="B13" s="5" t="s">
        <v>9</v>
      </c>
      <c r="C13" s="6" t="s">
        <v>10</v>
      </c>
    </row>
    <row r="14" customFormat="false" ht="24" hidden="false" customHeight="true" outlineLevel="0" collapsed="false">
      <c r="B14" s="5" t="s">
        <v>11</v>
      </c>
      <c r="C14" s="6" t="s">
        <v>12</v>
      </c>
    </row>
    <row r="15" customFormat="false" ht="24" hidden="false" customHeight="true" outlineLevel="0" collapsed="false">
      <c r="B15" s="5" t="s">
        <v>13</v>
      </c>
      <c r="C15" s="6" t="s">
        <v>14</v>
      </c>
    </row>
    <row r="16" customFormat="false" ht="24" hidden="false" customHeight="true" outlineLevel="0" collapsed="false">
      <c r="B16" s="5" t="s">
        <v>15</v>
      </c>
      <c r="C16" s="6" t="s">
        <v>16</v>
      </c>
    </row>
    <row r="17" customFormat="false" ht="24" hidden="false" customHeight="true" outlineLevel="0" collapsed="false">
      <c r="B17" s="5" t="s">
        <v>17</v>
      </c>
      <c r="C17" s="6" t="s">
        <v>18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8" min="4" style="0" width="12"/>
  </cols>
  <sheetData>
    <row r="2" customFormat="false" ht="30" hidden="false" customHeight="true" outlineLevel="0" collapsed="false">
      <c r="B2" s="1" t="s">
        <v>19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20</v>
      </c>
      <c r="C3" s="2"/>
      <c r="D3" s="2"/>
      <c r="E3" s="2"/>
      <c r="F3" s="2"/>
      <c r="G3" s="2"/>
      <c r="H3" s="2"/>
    </row>
    <row r="6" customFormat="false" ht="15" hidden="false" customHeight="true" outlineLevel="0" collapsed="false">
      <c r="B6" s="7" t="s">
        <v>21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B7" s="7"/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B8" s="8" t="s">
        <v>22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B9" s="8"/>
      <c r="C9" s="8"/>
      <c r="D9" s="8"/>
      <c r="E9" s="8"/>
      <c r="F9" s="8"/>
      <c r="G9" s="8"/>
      <c r="H9" s="8"/>
    </row>
    <row r="10" customFormat="false" ht="21.75" hidden="false" customHeight="true" outlineLevel="0" collapsed="false">
      <c r="B10" s="9" t="s">
        <v>23</v>
      </c>
      <c r="C10" s="10" t="s">
        <v>24</v>
      </c>
      <c r="D10" s="11" t="s">
        <v>25</v>
      </c>
    </row>
    <row r="11" customFormat="false" ht="15" hidden="false" customHeight="false" outlineLevel="0" collapsed="false">
      <c r="B11" s="12" t="s">
        <v>26</v>
      </c>
      <c r="C11" s="13" t="n">
        <v>24.9</v>
      </c>
      <c r="D11" s="14" t="n">
        <v>50</v>
      </c>
    </row>
    <row r="12" customFormat="false" ht="15" hidden="false" customHeight="false" outlineLevel="0" collapsed="false">
      <c r="B12" s="15" t="s">
        <v>27</v>
      </c>
      <c r="C12" s="13" t="n">
        <v>7.5</v>
      </c>
      <c r="D12" s="14" t="n">
        <v>80</v>
      </c>
    </row>
    <row r="13" customFormat="false" ht="15" hidden="false" customHeight="false" outlineLevel="0" collapsed="false">
      <c r="B13" s="12" t="s">
        <v>28</v>
      </c>
      <c r="C13" s="13" t="n">
        <v>18</v>
      </c>
      <c r="D13" s="14" t="n">
        <v>30</v>
      </c>
    </row>
    <row r="14" customFormat="false" ht="15" hidden="false" customHeight="false" outlineLevel="0" collapsed="false">
      <c r="B14" s="16" t="s">
        <v>29</v>
      </c>
      <c r="C14" s="17" t="n">
        <v>4.8</v>
      </c>
      <c r="D14" s="18" t="n">
        <v>60</v>
      </c>
    </row>
    <row r="16" customFormat="false" ht="15" hidden="false" customHeight="true" outlineLevel="0" collapsed="false">
      <c r="B16" s="7" t="s">
        <v>30</v>
      </c>
      <c r="C16" s="7"/>
      <c r="D16" s="7"/>
      <c r="E16" s="7"/>
      <c r="F16" s="7"/>
      <c r="G16" s="7"/>
      <c r="H16" s="7"/>
    </row>
    <row r="17" customFormat="false" ht="15" hidden="false" customHeight="true" outlineLevel="0" collapsed="false">
      <c r="B17" s="7"/>
      <c r="C17" s="7"/>
      <c r="D17" s="7"/>
      <c r="E17" s="7"/>
      <c r="F17" s="7"/>
      <c r="G17" s="7"/>
      <c r="H17" s="7"/>
    </row>
  </sheetData>
  <sheetProtection sheet="true" password="d90a"/>
  <mergeCells count="5">
    <mergeCell ref="B2:H2"/>
    <mergeCell ref="B3:H3"/>
    <mergeCell ref="B6:H7"/>
    <mergeCell ref="B8:H9"/>
    <mergeCell ref="B16:H17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14"/>
  </cols>
  <sheetData>
    <row r="2" customFormat="false" ht="30" hidden="false" customHeight="true" outlineLevel="0" collapsed="false">
      <c r="B2" s="1" t="s">
        <v>31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32</v>
      </c>
      <c r="C3" s="2"/>
      <c r="D3" s="2"/>
      <c r="E3" s="2"/>
      <c r="F3" s="2"/>
      <c r="G3" s="2"/>
      <c r="H3" s="2"/>
    </row>
    <row r="6" customFormat="false" ht="15" hidden="false" customHeight="true" outlineLevel="0" collapsed="false">
      <c r="B6" s="7" t="s">
        <v>33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B7" s="7"/>
      <c r="C7" s="7"/>
      <c r="D7" s="7"/>
      <c r="E7" s="7"/>
      <c r="F7" s="7"/>
      <c r="G7" s="7"/>
      <c r="H7" s="7"/>
    </row>
    <row r="8" customFormat="false" ht="21.75" hidden="false" customHeight="true" outlineLevel="0" collapsed="false">
      <c r="B8" s="9" t="s">
        <v>34</v>
      </c>
      <c r="C8" s="10" t="s">
        <v>23</v>
      </c>
      <c r="D8" s="11" t="s">
        <v>24</v>
      </c>
      <c r="F8" s="19" t="s">
        <v>35</v>
      </c>
      <c r="G8" s="19"/>
      <c r="H8" s="19"/>
    </row>
    <row r="9" customFormat="false" ht="15" hidden="false" customHeight="false" outlineLevel="0" collapsed="false">
      <c r="B9" s="12" t="s">
        <v>36</v>
      </c>
      <c r="C9" s="6" t="s">
        <v>37</v>
      </c>
      <c r="D9" s="20" t="n">
        <v>75</v>
      </c>
      <c r="F9" s="21" t="s">
        <v>38</v>
      </c>
      <c r="G9" s="22" t="s">
        <v>39</v>
      </c>
      <c r="H9" s="22"/>
    </row>
    <row r="10" customFormat="false" ht="15" hidden="false" customHeight="false" outlineLevel="0" collapsed="false">
      <c r="B10" s="15" t="s">
        <v>40</v>
      </c>
      <c r="C10" s="23" t="s">
        <v>41</v>
      </c>
      <c r="D10" s="20" t="n">
        <v>45</v>
      </c>
      <c r="F10" s="21" t="s">
        <v>42</v>
      </c>
      <c r="G10" s="24" t="str">
        <f aca="false">VLOOKUP(G9,$B$9:$D$16,2,FALSE())</f>
        <v>Notebook</v>
      </c>
      <c r="H10" s="24"/>
    </row>
    <row r="11" customFormat="false" ht="15" hidden="false" customHeight="false" outlineLevel="0" collapsed="false">
      <c r="B11" s="12" t="s">
        <v>43</v>
      </c>
      <c r="C11" s="6" t="s">
        <v>44</v>
      </c>
      <c r="D11" s="20" t="n">
        <v>800</v>
      </c>
      <c r="F11" s="25" t="s">
        <v>45</v>
      </c>
      <c r="G11" s="26" t="n">
        <f aca="false">VLOOKUP(G9,$B$9:$D$16,3,FALSE())</f>
        <v>3200</v>
      </c>
      <c r="H11" s="26"/>
    </row>
    <row r="12" customFormat="false" ht="15" hidden="false" customHeight="false" outlineLevel="0" collapsed="false">
      <c r="B12" s="15" t="s">
        <v>46</v>
      </c>
      <c r="C12" s="23" t="s">
        <v>47</v>
      </c>
      <c r="D12" s="20" t="n">
        <v>120</v>
      </c>
    </row>
    <row r="13" customFormat="false" ht="15" hidden="false" customHeight="false" outlineLevel="0" collapsed="false">
      <c r="B13" s="12" t="s">
        <v>48</v>
      </c>
      <c r="C13" s="6" t="s">
        <v>49</v>
      </c>
      <c r="D13" s="20" t="n">
        <v>190</v>
      </c>
    </row>
    <row r="14" customFormat="false" ht="15" hidden="false" customHeight="false" outlineLevel="0" collapsed="false">
      <c r="B14" s="15" t="s">
        <v>39</v>
      </c>
      <c r="C14" s="23" t="s">
        <v>50</v>
      </c>
      <c r="D14" s="20" t="n">
        <v>3200</v>
      </c>
    </row>
    <row r="15" customFormat="false" ht="15" hidden="false" customHeight="false" outlineLevel="0" collapsed="false">
      <c r="B15" s="12" t="s">
        <v>51</v>
      </c>
      <c r="C15" s="6" t="s">
        <v>52</v>
      </c>
      <c r="D15" s="20" t="n">
        <v>650</v>
      </c>
    </row>
    <row r="16" customFormat="false" ht="15" hidden="false" customHeight="false" outlineLevel="0" collapsed="false">
      <c r="B16" s="16" t="s">
        <v>53</v>
      </c>
      <c r="C16" s="27" t="s">
        <v>54</v>
      </c>
      <c r="D16" s="28" t="n">
        <v>35</v>
      </c>
    </row>
    <row r="18" customFormat="false" ht="21.75" hidden="false" customHeight="true" outlineLevel="0" collapsed="false">
      <c r="B18" s="3" t="s">
        <v>55</v>
      </c>
    </row>
    <row r="19" customFormat="false" ht="15" hidden="false" customHeight="false" outlineLevel="0" collapsed="false">
      <c r="B19" s="29" t="s">
        <v>56</v>
      </c>
      <c r="C19" s="29"/>
      <c r="D19" s="29"/>
      <c r="E19" s="29"/>
      <c r="F19" s="29"/>
      <c r="G19" s="29"/>
      <c r="H19" s="29"/>
    </row>
    <row r="20" customFormat="false" ht="25.5" hidden="false" customHeight="true" outlineLevel="0" collapsed="false">
      <c r="B20" s="30" t="s">
        <v>57</v>
      </c>
      <c r="C20" s="31" t="s">
        <v>58</v>
      </c>
      <c r="D20" s="31"/>
      <c r="E20" s="31"/>
      <c r="F20" s="31"/>
      <c r="G20" s="31"/>
      <c r="H20" s="31"/>
    </row>
    <row r="21" customFormat="false" ht="25.5" hidden="false" customHeight="true" outlineLevel="0" collapsed="false">
      <c r="B21" s="32" t="s">
        <v>59</v>
      </c>
      <c r="C21" s="33" t="s">
        <v>60</v>
      </c>
      <c r="D21" s="33"/>
      <c r="E21" s="33"/>
      <c r="F21" s="33"/>
      <c r="G21" s="33"/>
      <c r="H21" s="33"/>
    </row>
    <row r="22" customFormat="false" ht="25.5" hidden="false" customHeight="true" outlineLevel="0" collapsed="false">
      <c r="B22" s="32" t="s">
        <v>61</v>
      </c>
      <c r="C22" s="33" t="s">
        <v>62</v>
      </c>
      <c r="D22" s="33"/>
      <c r="E22" s="33"/>
      <c r="F22" s="33"/>
      <c r="G22" s="33"/>
      <c r="H22" s="33"/>
    </row>
    <row r="23" customFormat="false" ht="25.5" hidden="false" customHeight="true" outlineLevel="0" collapsed="false">
      <c r="B23" s="34" t="s">
        <v>63</v>
      </c>
      <c r="C23" s="35" t="s">
        <v>64</v>
      </c>
      <c r="D23" s="35"/>
      <c r="E23" s="35"/>
      <c r="F23" s="35"/>
      <c r="G23" s="35"/>
      <c r="H23" s="35"/>
    </row>
    <row r="25" customFormat="false" ht="15" hidden="false" customHeight="true" outlineLevel="0" collapsed="false">
      <c r="B25" s="7" t="s">
        <v>65</v>
      </c>
      <c r="C25" s="7"/>
      <c r="D25" s="7"/>
      <c r="E25" s="7"/>
      <c r="F25" s="7"/>
      <c r="G25" s="7"/>
      <c r="H25" s="7"/>
    </row>
    <row r="26" customFormat="false" ht="15" hidden="false" customHeight="true" outlineLevel="0" collapsed="false">
      <c r="B26" s="7"/>
      <c r="C26" s="7"/>
      <c r="D26" s="7"/>
      <c r="E26" s="7"/>
      <c r="F26" s="7"/>
      <c r="G26" s="7"/>
      <c r="H26" s="7"/>
    </row>
  </sheetData>
  <mergeCells count="13">
    <mergeCell ref="B2:H2"/>
    <mergeCell ref="B3:H3"/>
    <mergeCell ref="B6:H7"/>
    <mergeCell ref="F8:H8"/>
    <mergeCell ref="G9:H9"/>
    <mergeCell ref="G10:H10"/>
    <mergeCell ref="G11:H11"/>
    <mergeCell ref="B19:H19"/>
    <mergeCell ref="C20:H20"/>
    <mergeCell ref="C21:H21"/>
    <mergeCell ref="C22:H22"/>
    <mergeCell ref="C23:H23"/>
    <mergeCell ref="B25:H26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4" min="2" style="0" width="12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0"/>
    <col collapsed="false" customWidth="true" hidden="false" outlineLevel="0" max="8" min="8" style="0" width="12"/>
  </cols>
  <sheetData>
    <row r="2" customFormat="false" ht="30" hidden="false" customHeight="true" outlineLevel="0" collapsed="false">
      <c r="B2" s="1" t="s">
        <v>66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67</v>
      </c>
      <c r="C3" s="2"/>
      <c r="D3" s="2"/>
      <c r="E3" s="2"/>
      <c r="F3" s="2"/>
      <c r="G3" s="2"/>
      <c r="H3" s="2"/>
    </row>
    <row r="6" customFormat="false" ht="15" hidden="false" customHeight="true" outlineLevel="0" collapsed="false">
      <c r="B6" s="7" t="s">
        <v>68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B7" s="7"/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B8" s="8" t="s">
        <v>69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B9" s="8"/>
      <c r="C9" s="8"/>
      <c r="D9" s="8"/>
      <c r="E9" s="8"/>
      <c r="F9" s="8"/>
      <c r="G9" s="8"/>
      <c r="H9" s="8"/>
    </row>
    <row r="10" customFormat="false" ht="15" hidden="false" customHeight="false" outlineLevel="0" collapsed="false">
      <c r="B10" s="36" t="s">
        <v>70</v>
      </c>
      <c r="C10" s="37" t="s">
        <v>71</v>
      </c>
      <c r="D10" s="37" t="s">
        <v>72</v>
      </c>
      <c r="E10" s="37" t="s">
        <v>73</v>
      </c>
      <c r="F10" s="37" t="s">
        <v>74</v>
      </c>
      <c r="G10" s="37" t="s">
        <v>75</v>
      </c>
      <c r="H10" s="38" t="s">
        <v>76</v>
      </c>
    </row>
    <row r="11" customFormat="false" ht="15" hidden="false" customHeight="false" outlineLevel="0" collapsed="false">
      <c r="B11" s="12" t="s">
        <v>77</v>
      </c>
      <c r="C11" s="6" t="s">
        <v>78</v>
      </c>
      <c r="D11" s="39" t="s">
        <v>79</v>
      </c>
      <c r="E11" s="23" t="str">
        <f aca="false">CONCATENATE(PROPER(B11)," ",PROPER(C11))</f>
        <v>Maria Silva</v>
      </c>
      <c r="F11" s="40" t="str">
        <f aca="false">LEFT(D11,4)</f>
        <v>2024</v>
      </c>
      <c r="G11" s="40" t="n">
        <f aca="false">LEN(B11)</f>
        <v>5</v>
      </c>
      <c r="H11" s="41" t="str">
        <f aca="false">UPPER(B11)</f>
        <v>MARIA</v>
      </c>
    </row>
    <row r="12" customFormat="false" ht="15" hidden="false" customHeight="false" outlineLevel="0" collapsed="false">
      <c r="B12" s="12" t="s">
        <v>80</v>
      </c>
      <c r="C12" s="6" t="s">
        <v>81</v>
      </c>
      <c r="D12" s="39" t="s">
        <v>82</v>
      </c>
      <c r="E12" s="23" t="str">
        <f aca="false">CONCATENATE(PROPER(B12)," ",PROPER(C12))</f>
        <v>João Souza</v>
      </c>
      <c r="F12" s="40" t="str">
        <f aca="false">LEFT(D12,4)</f>
        <v>2024</v>
      </c>
      <c r="G12" s="40" t="n">
        <f aca="false">LEN(B12)</f>
        <v>4</v>
      </c>
      <c r="H12" s="41" t="str">
        <f aca="false">UPPER(B12)</f>
        <v>JOÃO</v>
      </c>
    </row>
    <row r="13" customFormat="false" ht="15" hidden="false" customHeight="false" outlineLevel="0" collapsed="false">
      <c r="B13" s="12" t="s">
        <v>83</v>
      </c>
      <c r="C13" s="6" t="s">
        <v>84</v>
      </c>
      <c r="D13" s="39" t="s">
        <v>85</v>
      </c>
      <c r="E13" s="23" t="str">
        <f aca="false">CONCATENATE(PROPER(B13)," ",PROPER(C13))</f>
        <v>Ana Costa</v>
      </c>
      <c r="F13" s="40" t="str">
        <f aca="false">LEFT(D13,4)</f>
        <v>2024</v>
      </c>
      <c r="G13" s="40" t="n">
        <f aca="false">LEN(B13)</f>
        <v>3</v>
      </c>
      <c r="H13" s="41" t="str">
        <f aca="false">UPPER(B13)</f>
        <v>ANA</v>
      </c>
    </row>
    <row r="14" customFormat="false" ht="15" hidden="false" customHeight="false" outlineLevel="0" collapsed="false">
      <c r="B14" s="12" t="s">
        <v>86</v>
      </c>
      <c r="C14" s="6" t="s">
        <v>87</v>
      </c>
      <c r="D14" s="39" t="s">
        <v>88</v>
      </c>
      <c r="E14" s="23" t="str">
        <f aca="false">CONCATENATE(PROPER(B14)," ",PROPER(C14))</f>
        <v>Pedro Lima</v>
      </c>
      <c r="F14" s="40" t="str">
        <f aca="false">LEFT(D14,4)</f>
        <v>2024</v>
      </c>
      <c r="G14" s="40" t="n">
        <f aca="false">LEN(B14)</f>
        <v>5</v>
      </c>
      <c r="H14" s="41" t="str">
        <f aca="false">UPPER(B14)</f>
        <v>PEDRO</v>
      </c>
    </row>
    <row r="15" customFormat="false" ht="15" hidden="false" customHeight="false" outlineLevel="0" collapsed="false">
      <c r="B15" s="42" t="s">
        <v>89</v>
      </c>
      <c r="C15" s="43" t="s">
        <v>90</v>
      </c>
      <c r="D15" s="44" t="s">
        <v>91</v>
      </c>
      <c r="E15" s="27" t="str">
        <f aca="false">CONCATENATE(PROPER(B15)," ",PROPER(C15))</f>
        <v>Lucas Alves</v>
      </c>
      <c r="F15" s="45" t="str">
        <f aca="false">LEFT(D15,4)</f>
        <v>2024</v>
      </c>
      <c r="G15" s="45" t="n">
        <f aca="false">LEN(B15)</f>
        <v>5</v>
      </c>
      <c r="H15" s="46" t="str">
        <f aca="false">UPPER(B15)</f>
        <v>LUCAS</v>
      </c>
    </row>
    <row r="17" customFormat="false" ht="21.75" hidden="false" customHeight="true" outlineLevel="0" collapsed="false">
      <c r="B17" s="3" t="s">
        <v>92</v>
      </c>
    </row>
    <row r="18" customFormat="false" ht="23.85" hidden="false" customHeight="true" outlineLevel="0" collapsed="false">
      <c r="B18" s="47" t="s">
        <v>73</v>
      </c>
      <c r="C18" s="48" t="s">
        <v>93</v>
      </c>
      <c r="D18" s="48"/>
      <c r="E18" s="48"/>
      <c r="F18" s="48"/>
      <c r="G18" s="48"/>
      <c r="H18" s="48"/>
    </row>
    <row r="19" customFormat="false" ht="15" hidden="false" customHeight="true" outlineLevel="0" collapsed="false">
      <c r="B19" s="49" t="s">
        <v>74</v>
      </c>
      <c r="C19" s="50" t="s">
        <v>94</v>
      </c>
      <c r="D19" s="50"/>
      <c r="E19" s="50"/>
      <c r="F19" s="50"/>
      <c r="G19" s="50"/>
      <c r="H19" s="50"/>
    </row>
    <row r="20" customFormat="false" ht="15" hidden="false" customHeight="true" outlineLevel="0" collapsed="false">
      <c r="B20" s="49" t="s">
        <v>75</v>
      </c>
      <c r="C20" s="50" t="s">
        <v>95</v>
      </c>
      <c r="D20" s="50"/>
      <c r="E20" s="50"/>
      <c r="F20" s="50"/>
      <c r="G20" s="50"/>
      <c r="H20" s="50"/>
    </row>
    <row r="21" customFormat="false" ht="23.85" hidden="false" customHeight="true" outlineLevel="0" collapsed="false">
      <c r="B21" s="51" t="s">
        <v>76</v>
      </c>
      <c r="C21" s="52" t="s">
        <v>96</v>
      </c>
      <c r="D21" s="52"/>
      <c r="E21" s="52"/>
      <c r="F21" s="52"/>
      <c r="G21" s="52"/>
      <c r="H21" s="52"/>
    </row>
    <row r="23" customFormat="false" ht="15" hidden="false" customHeight="true" outlineLevel="0" collapsed="false">
      <c r="B23" s="7" t="s">
        <v>97</v>
      </c>
      <c r="C23" s="7"/>
      <c r="D23" s="7"/>
      <c r="E23" s="7"/>
      <c r="F23" s="7"/>
      <c r="G23" s="7"/>
      <c r="H23" s="7"/>
    </row>
    <row r="24" customFormat="false" ht="15" hidden="false" customHeight="true" outlineLevel="0" collapsed="false">
      <c r="B24" s="7"/>
      <c r="C24" s="7"/>
      <c r="D24" s="7"/>
      <c r="E24" s="7"/>
      <c r="F24" s="7"/>
      <c r="G24" s="7"/>
      <c r="H24" s="7"/>
    </row>
  </sheetData>
  <mergeCells count="9">
    <mergeCell ref="B2:H2"/>
    <mergeCell ref="B3:H3"/>
    <mergeCell ref="B6:H7"/>
    <mergeCell ref="B8:H9"/>
    <mergeCell ref="C18:H18"/>
    <mergeCell ref="C19:H19"/>
    <mergeCell ref="C20:H20"/>
    <mergeCell ref="C21:H21"/>
    <mergeCell ref="B23:H24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8" min="5" style="0" width="12"/>
  </cols>
  <sheetData>
    <row r="2" customFormat="false" ht="30" hidden="false" customHeight="true" outlineLevel="0" collapsed="false">
      <c r="B2" s="1" t="s">
        <v>98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99</v>
      </c>
      <c r="C3" s="2"/>
      <c r="D3" s="2"/>
      <c r="E3" s="2"/>
      <c r="F3" s="2"/>
      <c r="G3" s="2"/>
      <c r="H3" s="2"/>
    </row>
    <row r="6" customFormat="false" ht="15" hidden="false" customHeight="true" outlineLevel="0" collapsed="false">
      <c r="B6" s="7" t="s">
        <v>100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B7" s="7"/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B8" s="8" t="s">
        <v>101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B9" s="8"/>
      <c r="C9" s="8"/>
      <c r="D9" s="8"/>
      <c r="E9" s="8"/>
      <c r="F9" s="8"/>
      <c r="G9" s="8"/>
      <c r="H9" s="8"/>
    </row>
    <row r="10" customFormat="false" ht="21.75" hidden="false" customHeight="true" outlineLevel="0" collapsed="false">
      <c r="B10" s="9" t="s">
        <v>102</v>
      </c>
      <c r="C10" s="10" t="s">
        <v>103</v>
      </c>
      <c r="D10" s="11" t="s">
        <v>104</v>
      </c>
    </row>
    <row r="11" customFormat="false" ht="15" hidden="false" customHeight="false" outlineLevel="0" collapsed="false">
      <c r="B11" s="12" t="s">
        <v>105</v>
      </c>
      <c r="C11" s="39" t="n">
        <v>32</v>
      </c>
      <c r="D11" s="53" t="n">
        <v>480</v>
      </c>
    </row>
    <row r="12" customFormat="false" ht="15" hidden="false" customHeight="false" outlineLevel="0" collapsed="false">
      <c r="B12" s="15" t="s">
        <v>106</v>
      </c>
      <c r="C12" s="40" t="n">
        <v>33</v>
      </c>
      <c r="D12" s="54" t="n">
        <v>510</v>
      </c>
    </row>
    <row r="13" customFormat="false" ht="15" hidden="false" customHeight="false" outlineLevel="0" collapsed="false">
      <c r="B13" s="12" t="s">
        <v>107</v>
      </c>
      <c r="C13" s="39" t="n">
        <v>30</v>
      </c>
      <c r="D13" s="53" t="n">
        <v>430</v>
      </c>
    </row>
    <row r="14" customFormat="false" ht="15" hidden="false" customHeight="false" outlineLevel="0" collapsed="false">
      <c r="B14" s="15" t="s">
        <v>108</v>
      </c>
      <c r="C14" s="40" t="n">
        <v>27</v>
      </c>
      <c r="D14" s="54" t="n">
        <v>350</v>
      </c>
    </row>
    <row r="15" customFormat="false" ht="15" hidden="false" customHeight="false" outlineLevel="0" collapsed="false">
      <c r="B15" s="12" t="s">
        <v>109</v>
      </c>
      <c r="C15" s="39" t="n">
        <v>24</v>
      </c>
      <c r="D15" s="53" t="n">
        <v>260</v>
      </c>
    </row>
    <row r="16" customFormat="false" ht="15" hidden="false" customHeight="false" outlineLevel="0" collapsed="false">
      <c r="B16" s="15" t="s">
        <v>110</v>
      </c>
      <c r="C16" s="40" t="n">
        <v>21</v>
      </c>
      <c r="D16" s="54" t="n">
        <v>180</v>
      </c>
    </row>
    <row r="17" customFormat="false" ht="15" hidden="false" customHeight="false" outlineLevel="0" collapsed="false">
      <c r="B17" s="12" t="s">
        <v>111</v>
      </c>
      <c r="C17" s="39" t="n">
        <v>20</v>
      </c>
      <c r="D17" s="53" t="n">
        <v>150</v>
      </c>
    </row>
    <row r="18" customFormat="false" ht="15" hidden="false" customHeight="false" outlineLevel="0" collapsed="false">
      <c r="B18" s="15" t="s">
        <v>112</v>
      </c>
      <c r="C18" s="40" t="n">
        <v>22</v>
      </c>
      <c r="D18" s="54" t="n">
        <v>200</v>
      </c>
    </row>
    <row r="19" customFormat="false" ht="15" hidden="false" customHeight="false" outlineLevel="0" collapsed="false">
      <c r="B19" s="12" t="s">
        <v>113</v>
      </c>
      <c r="C19" s="39" t="n">
        <v>25</v>
      </c>
      <c r="D19" s="53" t="n">
        <v>300</v>
      </c>
    </row>
    <row r="20" customFormat="false" ht="15" hidden="false" customHeight="false" outlineLevel="0" collapsed="false">
      <c r="B20" s="15" t="s">
        <v>114</v>
      </c>
      <c r="C20" s="40" t="n">
        <v>28</v>
      </c>
      <c r="D20" s="54" t="n">
        <v>380</v>
      </c>
    </row>
    <row r="21" customFormat="false" ht="15" hidden="false" customHeight="false" outlineLevel="0" collapsed="false">
      <c r="B21" s="12" t="s">
        <v>115</v>
      </c>
      <c r="C21" s="39" t="n">
        <v>30</v>
      </c>
      <c r="D21" s="53" t="n">
        <v>450</v>
      </c>
    </row>
    <row r="22" customFormat="false" ht="15" hidden="false" customHeight="false" outlineLevel="0" collapsed="false">
      <c r="B22" s="16" t="s">
        <v>116</v>
      </c>
      <c r="C22" s="45" t="n">
        <v>33</v>
      </c>
      <c r="D22" s="55" t="n">
        <v>520</v>
      </c>
    </row>
    <row r="40" customFormat="false" ht="15" hidden="false" customHeight="true" outlineLevel="0" collapsed="false">
      <c r="B40" s="7" t="s">
        <v>117</v>
      </c>
      <c r="C40" s="7"/>
      <c r="D40" s="7"/>
      <c r="E40" s="7"/>
      <c r="F40" s="7"/>
      <c r="G40" s="7"/>
      <c r="H40" s="7"/>
    </row>
    <row r="41" customFormat="false" ht="15" hidden="false" customHeight="true" outlineLevel="0" collapsed="false">
      <c r="B41" s="7"/>
      <c r="C41" s="7"/>
      <c r="D41" s="7"/>
      <c r="E41" s="7"/>
      <c r="F41" s="7"/>
      <c r="G41" s="7"/>
      <c r="H41" s="7"/>
    </row>
  </sheetData>
  <mergeCells count="5">
    <mergeCell ref="B2:H2"/>
    <mergeCell ref="B3:H3"/>
    <mergeCell ref="B6:H7"/>
    <mergeCell ref="B8:H9"/>
    <mergeCell ref="B40:H4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8" min="4" style="0" width="12"/>
  </cols>
  <sheetData>
    <row r="2" customFormat="false" ht="30" hidden="false" customHeight="true" outlineLevel="0" collapsed="false">
      <c r="B2" s="1" t="s">
        <v>118</v>
      </c>
      <c r="C2" s="1"/>
      <c r="D2" s="1"/>
      <c r="E2" s="1"/>
      <c r="F2" s="1"/>
      <c r="G2" s="1"/>
      <c r="H2" s="1"/>
    </row>
    <row r="3" customFormat="false" ht="15.75" hidden="false" customHeight="true" outlineLevel="0" collapsed="false">
      <c r="B3" s="2" t="s">
        <v>119</v>
      </c>
      <c r="C3" s="2"/>
      <c r="D3" s="2"/>
      <c r="E3" s="2"/>
      <c r="F3" s="2"/>
      <c r="G3" s="2"/>
      <c r="H3" s="2"/>
    </row>
    <row r="6" customFormat="false" ht="15" hidden="false" customHeight="true" outlineLevel="0" collapsed="false">
      <c r="B6" s="7" t="s">
        <v>120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B7" s="7"/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B8" s="8" t="s">
        <v>121</v>
      </c>
      <c r="C8" s="8"/>
      <c r="D8" s="8"/>
      <c r="E8" s="8"/>
      <c r="F8" s="8"/>
      <c r="G8" s="8"/>
      <c r="H8" s="8"/>
    </row>
    <row r="9" customFormat="false" ht="15" hidden="false" customHeight="true" outlineLevel="0" collapsed="false">
      <c r="B9" s="8"/>
      <c r="C9" s="8"/>
      <c r="D9" s="8"/>
      <c r="E9" s="8"/>
      <c r="F9" s="8"/>
      <c r="G9" s="8"/>
      <c r="H9" s="8"/>
    </row>
    <row r="10" customFormat="false" ht="21.75" hidden="false" customHeight="true" outlineLevel="0" collapsed="false">
      <c r="B10" s="9" t="s">
        <v>122</v>
      </c>
      <c r="C10" s="11" t="s">
        <v>123</v>
      </c>
    </row>
    <row r="11" customFormat="false" ht="15" hidden="false" customHeight="false" outlineLevel="0" collapsed="false">
      <c r="B11" s="56" t="n">
        <v>1</v>
      </c>
      <c r="C11" s="53" t="n">
        <v>4</v>
      </c>
    </row>
    <row r="12" customFormat="false" ht="15" hidden="false" customHeight="false" outlineLevel="0" collapsed="false">
      <c r="B12" s="57" t="n">
        <v>2</v>
      </c>
      <c r="C12" s="54" t="n">
        <v>5</v>
      </c>
    </row>
    <row r="13" customFormat="false" ht="15" hidden="false" customHeight="false" outlineLevel="0" collapsed="false">
      <c r="B13" s="56" t="n">
        <v>2</v>
      </c>
      <c r="C13" s="53" t="n">
        <v>5.5</v>
      </c>
    </row>
    <row r="14" customFormat="false" ht="15" hidden="false" customHeight="false" outlineLevel="0" collapsed="false">
      <c r="B14" s="57" t="n">
        <v>3</v>
      </c>
      <c r="C14" s="54" t="n">
        <v>6</v>
      </c>
    </row>
    <row r="15" customFormat="false" ht="15" hidden="false" customHeight="false" outlineLevel="0" collapsed="false">
      <c r="B15" s="56" t="n">
        <v>4</v>
      </c>
      <c r="C15" s="53" t="n">
        <v>6.5</v>
      </c>
    </row>
    <row r="16" customFormat="false" ht="15" hidden="false" customHeight="false" outlineLevel="0" collapsed="false">
      <c r="B16" s="57" t="n">
        <v>4</v>
      </c>
      <c r="C16" s="54" t="n">
        <v>7</v>
      </c>
    </row>
    <row r="17" customFormat="false" ht="15" hidden="false" customHeight="false" outlineLevel="0" collapsed="false">
      <c r="B17" s="56" t="n">
        <v>5</v>
      </c>
      <c r="C17" s="53" t="n">
        <v>7.5</v>
      </c>
    </row>
    <row r="18" customFormat="false" ht="15" hidden="false" customHeight="false" outlineLevel="0" collapsed="false">
      <c r="B18" s="57" t="n">
        <v>6</v>
      </c>
      <c r="C18" s="54" t="n">
        <v>8</v>
      </c>
    </row>
    <row r="19" customFormat="false" ht="15" hidden="false" customHeight="false" outlineLevel="0" collapsed="false">
      <c r="B19" s="56" t="n">
        <v>7</v>
      </c>
      <c r="C19" s="53" t="n">
        <v>8.5</v>
      </c>
    </row>
    <row r="20" customFormat="false" ht="15" hidden="false" customHeight="false" outlineLevel="0" collapsed="false">
      <c r="B20" s="58" t="n">
        <v>8</v>
      </c>
      <c r="C20" s="55" t="n">
        <v>9.5</v>
      </c>
    </row>
    <row r="40" customFormat="false" ht="15" hidden="false" customHeight="true" outlineLevel="0" collapsed="false">
      <c r="B40" s="7" t="s">
        <v>124</v>
      </c>
      <c r="C40" s="7"/>
      <c r="D40" s="7"/>
      <c r="E40" s="7"/>
      <c r="F40" s="7"/>
      <c r="G40" s="7"/>
      <c r="H40" s="7"/>
    </row>
    <row r="41" customFormat="false" ht="15" hidden="false" customHeight="true" outlineLevel="0" collapsed="false">
      <c r="B41" s="7"/>
      <c r="C41" s="7"/>
      <c r="D41" s="7"/>
      <c r="E41" s="7"/>
      <c r="F41" s="7"/>
      <c r="G41" s="7"/>
      <c r="H41" s="7"/>
    </row>
  </sheetData>
  <mergeCells count="5">
    <mergeCell ref="B2:H2"/>
    <mergeCell ref="B3:H3"/>
    <mergeCell ref="B6:H7"/>
    <mergeCell ref="B8:H9"/>
    <mergeCell ref="B40:H41"/>
  </mergeCell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2026-08-01T10:34:31Z</dcterms:created>
  <dc:creator>openpyxl</dc:creator>
  <dc:description/>
  <dc:language>en-US</dc:language>
  <cp:lastModifiedBy/>
  <dcterms:modified xsi:type="dcterms:W3CDTF">2026-08-01T10:34:35Z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