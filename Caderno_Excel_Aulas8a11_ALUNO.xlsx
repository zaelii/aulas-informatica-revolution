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Ex1 - Abas" sheetId="2" state="visible" r:id="rId2"/>
    <sheet xmlns:r="http://schemas.openxmlformats.org/officeDocument/2006/relationships" name="Ex2 - Proteger" sheetId="3" state="visible" r:id="rId3"/>
    <sheet xmlns:r="http://schemas.openxmlformats.org/officeDocument/2006/relationships" name="Ex3 - PROCV" sheetId="4" state="visible" r:id="rId4"/>
    <sheet xmlns:r="http://schemas.openxmlformats.org/officeDocument/2006/relationships" name="Ex4 - PROCV Pedidos" sheetId="5" state="visible" r:id="rId5"/>
    <sheet xmlns:r="http://schemas.openxmlformats.org/officeDocument/2006/relationships" name="Ex5 - Extrair Texto" sheetId="6" state="visible" r:id="rId6"/>
    <sheet xmlns:r="http://schemas.openxmlformats.org/officeDocument/2006/relationships" name="Ex6 - Arrumar Texto" sheetId="7" state="visible" r:id="rId7"/>
    <sheet xmlns:r="http://schemas.openxmlformats.org/officeDocument/2006/relationships" name="Ex7 - Eixo Secundario" sheetId="8" state="visible" r:id="rId8"/>
    <sheet xmlns:r="http://schemas.openxmlformats.org/officeDocument/2006/relationships" name="Ex8 - Dispersa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color rgb="00000000"/>
      <sz val="11"/>
    </font>
    <font>
      <name val="Arial"/>
      <b val="1"/>
      <color rgb="00FFFFFF"/>
      <sz val="11"/>
    </font>
    <font>
      <name val="Arial"/>
      <i val="1"/>
      <color rgb="007F7F7F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b val="1"/>
      <color rgb="00C55A11"/>
      <sz val="12"/>
    </font>
    <font>
      <name val="Arial"/>
      <b val="1"/>
      <color rgb="00000000"/>
      <sz val="10"/>
    </font>
    <font>
      <name val="Arial"/>
      <b val="1"/>
      <color rgb="00A61C1C"/>
      <sz val="10"/>
    </font>
    <font>
      <name val="Arial"/>
      <b val="1"/>
      <color rgb="00A61C1C"/>
      <sz val="12"/>
    </font>
    <font>
      <name val="Arial"/>
      <b val="1"/>
      <color rgb="001F4E78"/>
      <sz val="10"/>
    </font>
    <font>
      <name val="Arial"/>
      <b val="1"/>
      <color rgb="001F4E78"/>
      <sz val="12"/>
    </font>
    <font>
      <name val="Arial"/>
      <b val="1"/>
      <color rgb="00203864"/>
      <sz val="10"/>
    </font>
    <font>
      <name val="Arial"/>
      <b val="1"/>
      <color rgb="00203864"/>
      <sz val="12"/>
    </font>
    <font>
      <name val="Arial"/>
      <b val="1"/>
      <color rgb="00375623"/>
      <sz val="10"/>
    </font>
    <font>
      <name val="Arial"/>
      <b val="1"/>
      <color rgb="00375623"/>
      <sz val="12"/>
    </font>
    <font>
      <name val="Arial"/>
      <i val="1"/>
      <color rgb="007F7F7F"/>
      <sz val="9"/>
    </font>
    <font>
      <name val="Arial"/>
      <b val="1"/>
      <color rgb="000E7C7B"/>
      <sz val="10"/>
    </font>
    <font>
      <name val="Arial"/>
      <b val="1"/>
      <color rgb="000E7C7B"/>
      <sz val="12"/>
    </font>
    <font>
      <name val="Arial"/>
      <b val="1"/>
      <color rgb="004A148C"/>
      <sz val="10"/>
    </font>
    <font>
      <name val="Arial"/>
      <b val="1"/>
      <color rgb="004A148C"/>
      <sz val="12"/>
    </font>
    <font>
      <name val="Arial"/>
      <b val="1"/>
      <color rgb="005B2C86"/>
      <sz val="10"/>
    </font>
    <font>
      <name val="Arial"/>
      <b val="1"/>
      <color rgb="005B2C86"/>
      <sz val="12"/>
    </font>
  </fonts>
  <fills count="4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17A2B8"/>
      </patternFill>
    </fill>
    <fill>
      <patternFill patternType="solid">
        <fgColor rgb="007B1FA2"/>
      </patternFill>
    </fill>
    <fill>
      <patternFill patternType="solid">
        <fgColor rgb="008E44AD"/>
      </patternFill>
    </fill>
    <fill>
      <patternFill patternType="solid">
        <fgColor rgb="00FFF4CE"/>
      </patternFill>
    </fill>
    <fill>
      <patternFill patternType="solid">
        <fgColor rgb="00EAF2FB"/>
      </patternFill>
    </fill>
    <fill>
      <patternFill patternType="solid">
        <fgColor rgb="00C55A11"/>
      </patternFill>
    </fill>
    <fill>
      <patternFill patternType="solid">
        <fgColor rgb="00FDF0E6"/>
      </patternFill>
    </fill>
    <fill>
      <patternFill patternType="solid">
        <fgColor rgb="00FCE4D6"/>
      </patternFill>
    </fill>
    <fill>
      <patternFill patternType="solid">
        <fgColor rgb="007F0000"/>
      </patternFill>
    </fill>
    <fill>
      <patternFill patternType="solid">
        <fgColor rgb="00FCF0F0"/>
      </patternFill>
    </fill>
    <fill>
      <patternFill patternType="solid">
        <fgColor rgb="00FBEAEA"/>
      </patternFill>
    </fill>
    <fill>
      <patternFill patternType="solid">
        <fgColor rgb="00FBDDDD"/>
      </patternFill>
    </fill>
    <fill>
      <patternFill patternType="solid">
        <fgColor rgb="001F4E78"/>
      </patternFill>
    </fill>
    <fill>
      <patternFill patternType="solid">
        <fgColor rgb="00EEF5FC"/>
      </patternFill>
    </fill>
    <fill>
      <patternFill patternType="solid">
        <fgColor rgb="00DEEBF7"/>
      </patternFill>
    </fill>
    <fill>
      <patternFill patternType="solid">
        <fgColor rgb="00203864"/>
      </patternFill>
    </fill>
    <fill>
      <patternFill patternType="solid">
        <fgColor rgb="00EEF1F7"/>
      </patternFill>
    </fill>
    <fill>
      <patternFill patternType="solid">
        <fgColor rgb="00E9EDF4"/>
      </patternFill>
    </fill>
    <fill>
      <patternFill patternType="solid">
        <fgColor rgb="00D6DCE9"/>
      </patternFill>
    </fill>
    <fill>
      <patternFill patternType="solid">
        <fgColor rgb="00375623"/>
      </patternFill>
    </fill>
    <fill>
      <patternFill patternType="solid">
        <fgColor rgb="00F0F7EA"/>
      </patternFill>
    </fill>
    <fill>
      <patternFill patternType="solid">
        <fgColor rgb="00EDF4E6"/>
      </patternFill>
    </fill>
    <fill>
      <patternFill patternType="solid">
        <fgColor rgb="00E2EFDA"/>
      </patternFill>
    </fill>
    <fill>
      <patternFill patternType="solid">
        <fgColor rgb="001E6B5E"/>
      </patternFill>
    </fill>
    <fill>
      <patternFill patternType="solid">
        <fgColor rgb="00EDF9F8"/>
      </patternFill>
    </fill>
    <fill>
      <patternFill patternType="solid">
        <fgColor rgb="00E6F7F5"/>
      </patternFill>
    </fill>
    <fill>
      <patternFill patternType="solid">
        <fgColor rgb="00D6F1EF"/>
      </patternFill>
    </fill>
    <fill>
      <patternFill patternType="solid">
        <fgColor rgb="004A148C"/>
      </patternFill>
    </fill>
    <fill>
      <patternFill patternType="solid">
        <fgColor rgb="00F7F1FB"/>
      </patternFill>
    </fill>
    <fill>
      <patternFill patternType="solid">
        <fgColor rgb="00F4EDF9"/>
      </patternFill>
    </fill>
    <fill>
      <patternFill patternType="solid">
        <fgColor rgb="00ECE0F4"/>
      </patternFill>
    </fill>
    <fill>
      <patternFill patternType="solid">
        <fgColor rgb="005B2C86"/>
      </patternFill>
    </fill>
    <fill>
      <patternFill patternType="solid">
        <fgColor rgb="00F5F0FA"/>
      </patternFill>
    </fill>
    <fill>
      <patternFill patternType="solid">
        <fgColor rgb="00F2ECF9"/>
      </patternFill>
    </fill>
    <fill>
      <patternFill patternType="solid">
        <fgColor rgb="00E8E0F2"/>
      </patternFill>
    </fill>
  </fills>
  <borders count="7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D9C97A"/>
      </left>
      <right style="thin">
        <color rgb="00BFBFBF"/>
      </right>
      <top style="medium">
        <color rgb="00D9C97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D9C97A"/>
      </top>
      <bottom style="thin">
        <color rgb="00BFBFBF"/>
      </bottom>
    </border>
    <border>
      <left style="thin">
        <color rgb="00BFBFBF"/>
      </left>
      <right style="medium">
        <color rgb="00D9C97A"/>
      </right>
      <top style="medium">
        <color rgb="00D9C97A"/>
      </top>
      <bottom style="thin">
        <color rgb="00BFBFBF"/>
      </bottom>
    </border>
    <border>
      <left style="medium">
        <color rgb="00D9C97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D9C97A"/>
      </right>
      <top style="thin">
        <color rgb="00BFBFBF"/>
      </top>
      <bottom style="thin">
        <color rgb="00BFBFBF"/>
      </bottom>
    </border>
    <border>
      <left style="medium">
        <color rgb="00D9C97A"/>
      </left>
      <right style="thin">
        <color rgb="00BFBFBF"/>
      </right>
      <top style="thin">
        <color rgb="00BFBFBF"/>
      </top>
      <bottom style="medium">
        <color rgb="00D9C97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D9C97A"/>
      </bottom>
    </border>
    <border>
      <left style="thin">
        <color rgb="00BFBFBF"/>
      </left>
      <right style="medium">
        <color rgb="00D9C97A"/>
      </right>
      <top style="thin">
        <color rgb="00BFBFBF"/>
      </top>
      <bottom style="medium">
        <color rgb="00D9C97A"/>
      </bottom>
    </border>
    <border>
      <left style="medium">
        <color rgb="00843C0C"/>
      </left>
      <right style="thin">
        <color rgb="00BFBFBF"/>
      </right>
      <top style="medium">
        <color rgb="00843C0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43C0C"/>
      </top>
      <bottom style="thin">
        <color rgb="00BFBFBF"/>
      </bottom>
    </border>
    <border>
      <left style="thin">
        <color rgb="00BFBFBF"/>
      </left>
      <right style="medium">
        <color rgb="00843C0C"/>
      </right>
      <top style="medium">
        <color rgb="00843C0C"/>
      </top>
      <bottom style="thin">
        <color rgb="00BFBFBF"/>
      </bottom>
    </border>
    <border>
      <left style="medium">
        <color rgb="00843C0C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843C0C"/>
      </right>
      <top style="thin">
        <color rgb="00BFBFBF"/>
      </top>
      <bottom style="thin">
        <color rgb="00BFBFBF"/>
      </bottom>
    </border>
    <border>
      <left style="medium">
        <color rgb="00843C0C"/>
      </left>
      <right style="thin">
        <color rgb="00BFBFBF"/>
      </right>
      <top style="thin">
        <color rgb="00BFBFBF"/>
      </top>
      <bottom style="medium">
        <color rgb="00843C0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43C0C"/>
      </bottom>
    </border>
    <border>
      <left style="thin">
        <color rgb="00BFBFBF"/>
      </left>
      <right style="medium">
        <color rgb="00843C0C"/>
      </right>
      <top style="thin">
        <color rgb="00BFBFBF"/>
      </top>
      <bottom style="medium">
        <color rgb="00843C0C"/>
      </bottom>
    </border>
    <border>
      <left style="medium">
        <color rgb="007F0000"/>
      </left>
      <right style="thin">
        <color rgb="00BFBFBF"/>
      </right>
      <top style="medium">
        <color rgb="007F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F0000"/>
      </top>
      <bottom style="thin">
        <color rgb="00BFBFBF"/>
      </bottom>
    </border>
    <border>
      <left style="thin">
        <color rgb="00BFBFBF"/>
      </left>
      <right style="medium">
        <color rgb="007F0000"/>
      </right>
      <top style="medium">
        <color rgb="007F0000"/>
      </top>
      <bottom style="thin">
        <color rgb="00BFBFBF"/>
      </bottom>
    </border>
    <border>
      <left style="medium">
        <color rgb="007F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0000"/>
      </right>
      <top style="thin">
        <color rgb="00BFBFBF"/>
      </top>
      <bottom style="thin">
        <color rgb="00BFBFBF"/>
      </bottom>
    </border>
    <border>
      <left style="medium">
        <color rgb="007F0000"/>
      </left>
      <right style="thin">
        <color rgb="00BFBFBF"/>
      </right>
      <top style="thin">
        <color rgb="00BFBFBF"/>
      </top>
      <bottom style="medium">
        <color rgb="007F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0000"/>
      </bottom>
    </border>
    <border>
      <left style="thin">
        <color rgb="00BFBFBF"/>
      </left>
      <right style="medium">
        <color rgb="007F0000"/>
      </right>
      <top style="thin">
        <color rgb="00BFBFBF"/>
      </top>
      <bottom style="medium">
        <color rgb="007F0000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medium">
        <color rgb="0016264A"/>
      </left>
      <right style="thin">
        <color rgb="00BFBFBF"/>
      </right>
      <top style="medium">
        <color rgb="0016264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6264A"/>
      </top>
      <bottom style="thin">
        <color rgb="00BFBFBF"/>
      </bottom>
    </border>
    <border>
      <left style="thin">
        <color rgb="00BFBFBF"/>
      </left>
      <right style="medium">
        <color rgb="0016264A"/>
      </right>
      <top style="medium">
        <color rgb="0016264A"/>
      </top>
      <bottom style="thin">
        <color rgb="00BFBFBF"/>
      </bottom>
    </border>
    <border>
      <left style="medium">
        <color rgb="0016264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6264A"/>
      </right>
      <top style="thin">
        <color rgb="00BFBFBF"/>
      </top>
      <bottom style="thin">
        <color rgb="00BFBFBF"/>
      </bottom>
    </border>
    <border>
      <left style="medium">
        <color rgb="0016264A"/>
      </left>
      <right style="thin">
        <color rgb="00BFBFBF"/>
      </right>
      <top style="thin">
        <color rgb="00BFBFBF"/>
      </top>
      <bottom style="medium">
        <color rgb="0016264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6264A"/>
      </bottom>
    </border>
    <border>
      <left style="thin">
        <color rgb="00BFBFBF"/>
      </left>
      <right style="medium">
        <color rgb="0016264A"/>
      </right>
      <top style="thin">
        <color rgb="00BFBFBF"/>
      </top>
      <bottom style="medium">
        <color rgb="0016264A"/>
      </bottom>
    </border>
    <border>
      <left style="medium">
        <color rgb="002E4419"/>
      </left>
      <right style="thin">
        <color rgb="00BFBFBF"/>
      </right>
      <top style="medium">
        <color rgb="002E4419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4419"/>
      </top>
      <bottom style="thin">
        <color rgb="00BFBFBF"/>
      </bottom>
    </border>
    <border>
      <left style="thin">
        <color rgb="00BFBFBF"/>
      </left>
      <right style="medium">
        <color rgb="002E4419"/>
      </right>
      <top style="medium">
        <color rgb="002E4419"/>
      </top>
      <bottom style="thin">
        <color rgb="00BFBFBF"/>
      </bottom>
    </border>
    <border>
      <left style="medium">
        <color rgb="002E4419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2E4419"/>
      </right>
      <top style="thin">
        <color rgb="00BFBFBF"/>
      </top>
      <bottom style="thin">
        <color rgb="00BFBFBF"/>
      </bottom>
    </border>
    <border>
      <left style="medium">
        <color rgb="002E4419"/>
      </left>
      <right style="thin">
        <color rgb="00BFBFBF"/>
      </right>
      <top style="thin">
        <color rgb="00BFBFBF"/>
      </top>
      <bottom style="medium">
        <color rgb="002E441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E4419"/>
      </bottom>
    </border>
    <border>
      <left style="thin">
        <color rgb="00BFBFBF"/>
      </left>
      <right style="medium">
        <color rgb="002E4419"/>
      </right>
      <top style="thin">
        <color rgb="00BFBFBF"/>
      </top>
      <bottom style="medium">
        <color rgb="002E4419"/>
      </bottom>
    </border>
    <border>
      <left style="medium">
        <color rgb="000B5D5C"/>
      </left>
      <right style="thin">
        <color rgb="00BFBFBF"/>
      </right>
      <top style="medium">
        <color rgb="000B5D5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B5D5C"/>
      </top>
      <bottom style="thin">
        <color rgb="00BFBFBF"/>
      </bottom>
    </border>
    <border>
      <left style="thin">
        <color rgb="00BFBFBF"/>
      </left>
      <right style="medium">
        <color rgb="000B5D5C"/>
      </right>
      <top style="medium">
        <color rgb="000B5D5C"/>
      </top>
      <bottom style="thin">
        <color rgb="00BFBFBF"/>
      </bottom>
    </border>
    <border>
      <left style="medium">
        <color rgb="000B5D5C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B5D5C"/>
      </right>
      <top style="thin">
        <color rgb="00BFBFBF"/>
      </top>
      <bottom style="thin">
        <color rgb="00BFBFBF"/>
      </bottom>
    </border>
    <border>
      <left style="medium">
        <color rgb="000B5D5C"/>
      </left>
      <right style="thin">
        <color rgb="00BFBFBF"/>
      </right>
      <top style="thin">
        <color rgb="00BFBFBF"/>
      </top>
      <bottom style="medium">
        <color rgb="000B5D5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B5D5C"/>
      </bottom>
    </border>
    <border>
      <left style="thin">
        <color rgb="00BFBFBF"/>
      </left>
      <right style="medium">
        <color rgb="000B5D5C"/>
      </right>
      <top style="thin">
        <color rgb="00BFBFBF"/>
      </top>
      <bottom style="medium">
        <color rgb="000B5D5C"/>
      </bottom>
    </border>
    <border>
      <left style="medium">
        <color rgb="001E1E30"/>
      </left>
      <right style="thin">
        <color rgb="00BFBFBF"/>
      </right>
      <top style="medium">
        <color rgb="001E1E3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E1E30"/>
      </top>
      <bottom style="thin">
        <color rgb="00BFBFBF"/>
      </bottom>
    </border>
    <border>
      <left style="thin">
        <color rgb="00BFBFBF"/>
      </left>
      <right style="medium">
        <color rgb="001E1E30"/>
      </right>
      <top style="medium">
        <color rgb="001E1E30"/>
      </top>
      <bottom style="thin">
        <color rgb="00BFBFBF"/>
      </bottom>
    </border>
    <border>
      <left style="medium">
        <color rgb="001E1E3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E1E30"/>
      </right>
      <top style="thin">
        <color rgb="00BFBFBF"/>
      </top>
      <bottom style="thin">
        <color rgb="00BFBFBF"/>
      </bottom>
    </border>
    <border>
      <left style="medium">
        <color rgb="001E1E30"/>
      </left>
      <right style="thin">
        <color rgb="00BFBFBF"/>
      </right>
      <top style="thin">
        <color rgb="00BFBFBF"/>
      </top>
      <bottom style="medium">
        <color rgb="001E1E3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E1E30"/>
      </bottom>
    </border>
    <border>
      <left style="thin">
        <color rgb="00BFBFBF"/>
      </left>
      <right style="medium">
        <color rgb="001E1E30"/>
      </right>
      <top style="thin">
        <color rgb="00BFBFBF"/>
      </top>
      <bottom style="medium">
        <color rgb="001E1E30"/>
      </bottom>
    </border>
    <border>
      <left style="medium">
        <color rgb="005B2C86"/>
      </left>
      <right style="thin">
        <color rgb="00BFBFBF"/>
      </right>
      <top style="medium">
        <color rgb="005B2C86"/>
      </top>
      <bottom style="thin">
        <color rgb="00BFBFBF"/>
      </bottom>
    </border>
    <border>
      <left style="thin">
        <color rgb="00BFBFBF"/>
      </left>
      <right style="medium">
        <color rgb="005B2C86"/>
      </right>
      <top style="medium">
        <color rgb="005B2C86"/>
      </top>
      <bottom style="thin">
        <color rgb="00BFBFBF"/>
      </bottom>
    </border>
    <border>
      <left style="medium">
        <color rgb="005B2C8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5B2C86"/>
      </right>
      <top style="thin">
        <color rgb="00BFBFBF"/>
      </top>
      <bottom style="thin">
        <color rgb="00BFBFBF"/>
      </bottom>
    </border>
    <border>
      <left style="medium">
        <color rgb="005B2C86"/>
      </left>
      <right style="thin">
        <color rgb="00BFBFBF"/>
      </right>
      <top style="thin">
        <color rgb="00BFBFBF"/>
      </top>
      <bottom style="medium">
        <color rgb="005B2C86"/>
      </bottom>
    </border>
    <border>
      <left style="thin">
        <color rgb="00BFBFBF"/>
      </left>
      <right style="medium">
        <color rgb="005B2C86"/>
      </right>
      <top style="thin">
        <color rgb="00BFBFBF"/>
      </top>
      <bottom style="medium">
        <color rgb="005B2C86"/>
      </bottom>
    </border>
    <border>
      <left style="thin">
        <color rgb="00BFBFBF"/>
      </left>
      <right style="thin">
        <color rgb="00BFBFBF"/>
      </right>
      <top style="medium">
        <color rgb="005B2C86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B2C86"/>
      </bottom>
    </border>
  </borders>
  <cellStyleXfs count="1">
    <xf numFmtId="0" fontId="0" fillId="0" borderId="0"/>
  </cellStyleXfs>
  <cellXfs count="2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1" pivotButton="0" quotePrefix="0" xfId="0"/>
    <xf numFmtId="0" fontId="5" fillId="12" borderId="1" pivotButton="0" quotePrefix="0" xfId="0"/>
    <xf numFmtId="0" fontId="7" fillId="0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8" fillId="14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9" fillId="14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pivotButton="0" quotePrefix="0" xfId="0"/>
    <xf numFmtId="0" fontId="1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9" fillId="0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11" fillId="0" borderId="13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0" fillId="0" borderId="14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9" fillId="0" borderId="16" applyAlignment="1" pivotButton="0" quotePrefix="0" xfId="0">
      <alignment horizontal="left" vertical="center" wrapText="1"/>
    </xf>
    <xf numFmtId="0" fontId="0" fillId="0" borderId="17" pivotButton="0" quotePrefix="0" xfId="0"/>
    <xf numFmtId="0" fontId="9" fillId="0" borderId="10" applyAlignment="1" pivotButton="0" quotePrefix="0" xfId="0">
      <alignment horizontal="left" vertical="center" wrapText="1"/>
    </xf>
    <xf numFmtId="1" fontId="0" fillId="15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 wrapText="1"/>
    </xf>
    <xf numFmtId="49" fontId="0" fillId="15" borderId="1" applyAlignment="1" pivotButton="0" quotePrefix="0" xfId="0">
      <alignment horizontal="center" vertical="center"/>
    </xf>
    <xf numFmtId="0" fontId="9" fillId="0" borderId="15" applyAlignment="1" pivotButton="0" quotePrefix="0" xfId="0">
      <alignment horizontal="left" vertical="center" wrapText="1"/>
    </xf>
    <xf numFmtId="49" fontId="0" fillId="15" borderId="16" applyAlignment="1" pivotButton="0" quotePrefix="0" xfId="0">
      <alignment horizontal="center" vertical="center"/>
    </xf>
    <xf numFmtId="0" fontId="1" fillId="16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2" fillId="17" borderId="2" applyAlignment="1" pivotButton="0" quotePrefix="0" xfId="0">
      <alignment horizontal="left" vertical="center"/>
    </xf>
    <xf numFmtId="0" fontId="9" fillId="17" borderId="5" applyAlignment="1" pivotButton="0" quotePrefix="0" xfId="0">
      <alignment horizontal="left" vertical="top" wrapText="1"/>
    </xf>
    <xf numFmtId="0" fontId="6" fillId="4" borderId="18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22" applyAlignment="1" pivotButton="0" quotePrefix="0" xfId="0">
      <alignment horizontal="center" vertical="center"/>
    </xf>
    <xf numFmtId="0" fontId="5" fillId="18" borderId="21" applyAlignment="1" pivotButton="0" quotePrefix="0" xfId="0">
      <alignment horizontal="left" vertical="center" wrapText="1"/>
    </xf>
    <xf numFmtId="0" fontId="5" fillId="18" borderId="22" applyAlignment="1" pivotButton="0" quotePrefix="0" xfId="0">
      <alignment horizontal="center" vertical="center"/>
    </xf>
    <xf numFmtId="0" fontId="5" fillId="18" borderId="23" applyAlignment="1" pivotButton="0" quotePrefix="0" xfId="0">
      <alignment horizontal="left" vertical="center" wrapText="1"/>
    </xf>
    <xf numFmtId="164" fontId="5" fillId="0" borderId="24" applyAlignment="1" pivotButton="0" quotePrefix="0" xfId="0">
      <alignment horizontal="right" vertical="center"/>
    </xf>
    <xf numFmtId="0" fontId="5" fillId="18" borderId="25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9" fillId="0" borderId="19" applyAlignment="1" pivotButton="0" quotePrefix="0" xfId="0">
      <alignment horizontal="left" vertical="center" wrapText="1"/>
    </xf>
    <xf numFmtId="0" fontId="0" fillId="0" borderId="20" pivotButton="0" quotePrefix="0" xfId="0"/>
    <xf numFmtId="0" fontId="11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11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9" fillId="0" borderId="24" applyAlignment="1" pivotButton="0" quotePrefix="0" xfId="0">
      <alignment horizontal="left" vertical="center" wrapText="1"/>
    </xf>
    <xf numFmtId="0" fontId="0" fillId="0" borderId="25" pivotButton="0" quotePrefix="0" xfId="0"/>
    <xf numFmtId="0" fontId="9" fillId="0" borderId="18" applyAlignment="1" pivotButton="0" quotePrefix="0" xfId="0">
      <alignment horizontal="left" vertical="center" wrapText="1"/>
    </xf>
    <xf numFmtId="49" fontId="0" fillId="19" borderId="19" applyAlignment="1" pivotButton="0" quotePrefix="0" xfId="0">
      <alignment horizontal="center" vertical="center"/>
    </xf>
    <xf numFmtId="0" fontId="9" fillId="0" borderId="21" applyAlignment="1" pivotButton="0" quotePrefix="0" xfId="0">
      <alignment horizontal="left" vertical="center" wrapText="1"/>
    </xf>
    <xf numFmtId="49" fontId="0" fillId="19" borderId="1" applyAlignment="1" pivotButton="0" quotePrefix="0" xfId="0">
      <alignment horizontal="center" vertical="center"/>
    </xf>
    <xf numFmtId="0" fontId="9" fillId="0" borderId="23" applyAlignment="1" pivotButton="0" quotePrefix="0" xfId="0">
      <alignment horizontal="left" vertical="center" wrapText="1"/>
    </xf>
    <xf numFmtId="49" fontId="0" fillId="19" borderId="24" applyAlignment="1" pivotButton="0" quotePrefix="0" xfId="0">
      <alignment horizontal="center" vertical="center"/>
    </xf>
    <xf numFmtId="0" fontId="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14" fillId="21" borderId="2" applyAlignment="1" pivotButton="0" quotePrefix="0" xfId="0">
      <alignment horizontal="left" vertical="center"/>
    </xf>
    <xf numFmtId="0" fontId="9" fillId="21" borderId="5" applyAlignment="1" pivotButton="0" quotePrefix="0" xfId="0">
      <alignment horizontal="left" vertical="top" wrapText="1"/>
    </xf>
    <xf numFmtId="0" fontId="6" fillId="5" borderId="26" applyAlignment="1" pivotButton="0" quotePrefix="0" xfId="0">
      <alignment horizontal="center" vertical="center"/>
    </xf>
    <xf numFmtId="0" fontId="6" fillId="5" borderId="27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30" applyAlignment="1" pivotButton="0" quotePrefix="0" xfId="0">
      <alignment horizontal="right" vertical="center"/>
    </xf>
    <xf numFmtId="0" fontId="5" fillId="12" borderId="29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31" applyAlignment="1" pivotButton="0" quotePrefix="0" xfId="0">
      <alignment horizontal="left" vertical="center" wrapText="1"/>
    </xf>
    <xf numFmtId="0" fontId="5" fillId="12" borderId="32" applyAlignment="1" pivotButton="0" quotePrefix="0" xfId="0">
      <alignment horizontal="left" vertical="center" wrapText="1"/>
    </xf>
    <xf numFmtId="164" fontId="5" fillId="0" borderId="33" applyAlignment="1" pivotButton="0" quotePrefix="0" xfId="0">
      <alignment horizontal="right" vertical="center"/>
    </xf>
    <xf numFmtId="0" fontId="15" fillId="0" borderId="0" pivotButton="0" quotePrefix="0" xfId="0"/>
    <xf numFmtId="0" fontId="3" fillId="0" borderId="29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3" fillId="12" borderId="30" applyAlignment="1" pivotButton="0" quotePrefix="0" xfId="0">
      <alignment horizontal="right" vertical="center"/>
    </xf>
    <xf numFmtId="0" fontId="0" fillId="22" borderId="1" applyAlignment="1" pivotButton="0" quotePrefix="0" xfId="0">
      <alignment horizontal="center" vertical="center"/>
    </xf>
    <xf numFmtId="164" fontId="0" fillId="22" borderId="30" applyAlignment="1" pivotButton="0" quotePrefix="0" xfId="0">
      <alignment horizontal="right" vertical="center"/>
    </xf>
    <xf numFmtId="0" fontId="3" fillId="0" borderId="31" applyAlignment="1" pivotButton="0" quotePrefix="0" xfId="0">
      <alignment horizontal="center" vertical="center"/>
    </xf>
    <xf numFmtId="0" fontId="0" fillId="22" borderId="32" applyAlignment="1" pivotButton="0" quotePrefix="0" xfId="0">
      <alignment horizontal="center" vertical="center"/>
    </xf>
    <xf numFmtId="164" fontId="0" fillId="22" borderId="33" applyAlignment="1" pivotButton="0" quotePrefix="0" xfId="0">
      <alignment horizontal="right" vertical="center"/>
    </xf>
    <xf numFmtId="0" fontId="9" fillId="0" borderId="26" applyAlignment="1" pivotButton="0" quotePrefix="0" xfId="0">
      <alignment horizontal="left" vertical="center" wrapText="1"/>
    </xf>
    <xf numFmtId="0" fontId="0" fillId="0" borderId="27" pivotButton="0" quotePrefix="0" xfId="0"/>
    <xf numFmtId="49" fontId="0" fillId="22" borderId="27" applyAlignment="1" pivotButton="0" quotePrefix="0" xfId="0">
      <alignment horizontal="center" vertical="center"/>
    </xf>
    <xf numFmtId="0" fontId="0" fillId="0" borderId="28" pivotButton="0" quotePrefix="0" xfId="0"/>
    <xf numFmtId="0" fontId="9" fillId="0" borderId="29" applyAlignment="1" pivotButton="0" quotePrefix="0" xfId="0">
      <alignment horizontal="left" vertical="center" wrapText="1"/>
    </xf>
    <xf numFmtId="164" fontId="0" fillId="22" borderId="1" applyAlignment="1" pivotButton="0" quotePrefix="0" xfId="0">
      <alignment horizontal="center" vertical="center"/>
    </xf>
    <xf numFmtId="0" fontId="0" fillId="0" borderId="30" pivotButton="0" quotePrefix="0" xfId="0"/>
    <xf numFmtId="0" fontId="9" fillId="0" borderId="31" applyAlignment="1" pivotButton="0" quotePrefix="0" xfId="0">
      <alignment horizontal="left" vertical="center" wrapText="1"/>
    </xf>
    <xf numFmtId="0" fontId="0" fillId="0" borderId="32" pivotButton="0" quotePrefix="0" xfId="0"/>
    <xf numFmtId="49" fontId="0" fillId="22" borderId="32" applyAlignment="1" pivotButton="0" quotePrefix="0" xfId="0">
      <alignment horizontal="center" vertical="center"/>
    </xf>
    <xf numFmtId="0" fontId="0" fillId="0" borderId="33" pivotButton="0" quotePrefix="0" xfId="0"/>
    <xf numFmtId="0" fontId="1" fillId="23" borderId="0" applyAlignment="1" pivotButton="0" quotePrefix="0" xfId="0">
      <alignment horizontal="left" vertical="center"/>
    </xf>
    <xf numFmtId="0" fontId="2" fillId="23" borderId="0" applyAlignment="1" pivotButton="0" quotePrefix="0" xfId="0">
      <alignment horizontal="left" vertical="center"/>
    </xf>
    <xf numFmtId="0" fontId="16" fillId="24" borderId="2" applyAlignment="1" pivotButton="0" quotePrefix="0" xfId="0">
      <alignment horizontal="left" vertical="center"/>
    </xf>
    <xf numFmtId="0" fontId="9" fillId="24" borderId="5" applyAlignment="1" pivotButton="0" quotePrefix="0" xfId="0">
      <alignment horizontal="left" vertical="top" wrapText="1"/>
    </xf>
    <xf numFmtId="0" fontId="16" fillId="0" borderId="0" pivotButton="0" quotePrefix="0" xfId="0"/>
    <xf numFmtId="0" fontId="6" fillId="6" borderId="34" applyAlignment="1" pivotButton="0" quotePrefix="0" xfId="0">
      <alignment horizontal="center" vertical="center"/>
    </xf>
    <xf numFmtId="0" fontId="6" fillId="6" borderId="35" applyAlignment="1" pivotButton="0" quotePrefix="0" xfId="0">
      <alignment horizontal="center" vertical="center"/>
    </xf>
    <xf numFmtId="0" fontId="6" fillId="6" borderId="36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 wrapText="1"/>
    </xf>
    <xf numFmtId="164" fontId="5" fillId="0" borderId="38" applyAlignment="1" pivotButton="0" quotePrefix="0" xfId="0">
      <alignment horizontal="right" vertical="center"/>
    </xf>
    <xf numFmtId="0" fontId="5" fillId="25" borderId="37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5" fillId="25" borderId="39" applyAlignment="1" pivotButton="0" quotePrefix="0" xfId="0">
      <alignment horizontal="left" vertical="center" wrapText="1"/>
    </xf>
    <xf numFmtId="0" fontId="5" fillId="25" borderId="40" applyAlignment="1" pivotButton="0" quotePrefix="0" xfId="0">
      <alignment horizontal="left" vertical="center" wrapText="1"/>
    </xf>
    <xf numFmtId="164" fontId="5" fillId="0" borderId="41" applyAlignment="1" pivotButton="0" quotePrefix="0" xfId="0">
      <alignment horizontal="right" vertical="center"/>
    </xf>
    <xf numFmtId="0" fontId="17" fillId="0" borderId="0" pivotButton="0" quotePrefix="0" xfId="0"/>
    <xf numFmtId="0" fontId="3" fillId="0" borderId="37" applyAlignment="1" pivotButton="0" quotePrefix="0" xfId="0">
      <alignment horizontal="center" vertical="center"/>
    </xf>
    <xf numFmtId="0" fontId="3" fillId="25" borderId="1" applyAlignment="1" pivotButton="0" quotePrefix="0" xfId="0">
      <alignment horizontal="left" vertical="center" wrapText="1"/>
    </xf>
    <xf numFmtId="164" fontId="3" fillId="2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3" fillId="25" borderId="38" applyAlignment="1" pivotButton="0" quotePrefix="0" xfId="0">
      <alignment horizontal="right" vertical="center"/>
    </xf>
    <xf numFmtId="0" fontId="0" fillId="26" borderId="1" applyAlignment="1" pivotButton="0" quotePrefix="0" xfId="0">
      <alignment horizontal="left" vertical="center" wrapText="1"/>
    </xf>
    <xf numFmtId="164" fontId="0" fillId="26" borderId="1" applyAlignment="1" pivotButton="0" quotePrefix="0" xfId="0">
      <alignment horizontal="right" vertical="center"/>
    </xf>
    <xf numFmtId="164" fontId="0" fillId="26" borderId="38" applyAlignment="1" pivotButton="0" quotePrefix="0" xfId="0">
      <alignment horizontal="right" vertical="center"/>
    </xf>
    <xf numFmtId="0" fontId="3" fillId="0" borderId="39" applyAlignment="1" pivotButton="0" quotePrefix="0" xfId="0">
      <alignment horizontal="right" vertical="center"/>
    </xf>
    <xf numFmtId="0" fontId="0" fillId="0" borderId="40" pivotButton="0" quotePrefix="0" xfId="0"/>
    <xf numFmtId="164" fontId="0" fillId="26" borderId="41" applyAlignment="1" pivotButton="0" quotePrefix="0" xfId="0">
      <alignment horizontal="right" vertical="center"/>
    </xf>
    <xf numFmtId="0" fontId="9" fillId="0" borderId="34" applyAlignment="1" pivotButton="0" quotePrefix="0" xfId="0">
      <alignment horizontal="left" vertical="center" wrapText="1"/>
    </xf>
    <xf numFmtId="0" fontId="0" fillId="0" borderId="35" pivotButton="0" quotePrefix="0" xfId="0"/>
    <xf numFmtId="49" fontId="0" fillId="26" borderId="35" applyAlignment="1" pivotButton="0" quotePrefix="0" xfId="0">
      <alignment horizontal="center" vertical="center"/>
    </xf>
    <xf numFmtId="0" fontId="0" fillId="0" borderId="36" pivotButton="0" quotePrefix="0" xfId="0"/>
    <xf numFmtId="0" fontId="9" fillId="0" borderId="37" applyAlignment="1" pivotButton="0" quotePrefix="0" xfId="0">
      <alignment horizontal="left" vertical="center" wrapText="1"/>
    </xf>
    <xf numFmtId="1" fontId="0" fillId="26" borderId="1" applyAlignment="1" pivotButton="0" quotePrefix="0" xfId="0">
      <alignment horizontal="center" vertical="center"/>
    </xf>
    <xf numFmtId="0" fontId="0" fillId="0" borderId="38" pivotButton="0" quotePrefix="0" xfId="0"/>
    <xf numFmtId="0" fontId="9" fillId="0" borderId="39" applyAlignment="1" pivotButton="0" quotePrefix="0" xfId="0">
      <alignment horizontal="left" vertical="center" wrapText="1"/>
    </xf>
    <xf numFmtId="164" fontId="0" fillId="26" borderId="40" applyAlignment="1" pivotButton="0" quotePrefix="0" xfId="0">
      <alignment horizontal="center" vertical="center"/>
    </xf>
    <xf numFmtId="0" fontId="0" fillId="0" borderId="41" pivotButton="0" quotePrefix="0" xfId="0"/>
    <xf numFmtId="0" fontId="1" fillId="27" borderId="0" applyAlignment="1" pivotButton="0" quotePrefix="0" xfId="0">
      <alignment horizontal="left" vertical="center"/>
    </xf>
    <xf numFmtId="0" fontId="2" fillId="27" borderId="0" applyAlignment="1" pivotButton="0" quotePrefix="0" xfId="0">
      <alignment horizontal="left" vertical="center"/>
    </xf>
    <xf numFmtId="0" fontId="18" fillId="28" borderId="2" applyAlignment="1" pivotButton="0" quotePrefix="0" xfId="0">
      <alignment horizontal="left" vertical="center"/>
    </xf>
    <xf numFmtId="0" fontId="9" fillId="28" borderId="5" applyAlignment="1" pivotButton="0" quotePrefix="0" xfId="0">
      <alignment horizontal="left" vertical="top" wrapText="1"/>
    </xf>
    <xf numFmtId="0" fontId="6" fillId="7" borderId="42" applyAlignment="1" pivotButton="0" quotePrefix="0" xfId="0">
      <alignment horizontal="center" vertical="center"/>
    </xf>
    <xf numFmtId="0" fontId="6" fillId="7" borderId="43" applyAlignment="1" pivotButton="0" quotePrefix="0" xfId="0">
      <alignment horizontal="center" vertical="center"/>
    </xf>
    <xf numFmtId="0" fontId="6" fillId="7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 wrapText="1"/>
    </xf>
    <xf numFmtId="0" fontId="3" fillId="29" borderId="46" applyAlignment="1" pivotButton="0" quotePrefix="0" xfId="0">
      <alignment horizontal="center" vertical="center"/>
    </xf>
    <xf numFmtId="0" fontId="5" fillId="29" borderId="45" applyAlignment="1" pivotButton="0" quotePrefix="0" xfId="0">
      <alignment horizontal="left" vertical="center" wrapText="1"/>
    </xf>
    <xf numFmtId="0" fontId="5" fillId="29" borderId="1" applyAlignment="1" pivotButton="0" quotePrefix="0" xfId="0">
      <alignment horizontal="left" vertical="center" wrapText="1"/>
    </xf>
    <xf numFmtId="0" fontId="5" fillId="29" borderId="1" applyAlignment="1" pivotButton="0" quotePrefix="0" xfId="0">
      <alignment horizontal="center" vertical="center"/>
    </xf>
    <xf numFmtId="0" fontId="5" fillId="30" borderId="46" applyAlignment="1" pivotButton="0" quotePrefix="0" xfId="0">
      <alignment horizontal="center" vertical="center"/>
    </xf>
    <xf numFmtId="0" fontId="5" fillId="29" borderId="47" applyAlignment="1" pivotButton="0" quotePrefix="0" xfId="0">
      <alignment horizontal="left" vertical="center" wrapText="1"/>
    </xf>
    <xf numFmtId="0" fontId="5" fillId="29" borderId="48" applyAlignment="1" pivotButton="0" quotePrefix="0" xfId="0">
      <alignment horizontal="left" vertical="center" wrapText="1"/>
    </xf>
    <xf numFmtId="0" fontId="5" fillId="29" borderId="48" applyAlignment="1" pivotButton="0" quotePrefix="0" xfId="0">
      <alignment horizontal="center" vertical="center"/>
    </xf>
    <xf numFmtId="0" fontId="5" fillId="30" borderId="49" applyAlignment="1" pivotButton="0" quotePrefix="0" xfId="0">
      <alignment horizontal="center" vertical="center"/>
    </xf>
    <xf numFmtId="0" fontId="19" fillId="0" borderId="0" pivotButton="0" quotePrefix="0" xfId="0"/>
    <xf numFmtId="0" fontId="0" fillId="7" borderId="43" pivotButton="0" quotePrefix="0" xfId="0"/>
    <xf numFmtId="0" fontId="9" fillId="0" borderId="45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0" fillId="30" borderId="46" applyAlignment="1" pivotButton="0" quotePrefix="0" xfId="0">
      <alignment horizontal="center" vertical="center"/>
    </xf>
    <xf numFmtId="0" fontId="9" fillId="0" borderId="47" applyAlignment="1" pivotButton="0" quotePrefix="0" xfId="0">
      <alignment horizontal="left" vertical="center" wrapText="1"/>
    </xf>
    <xf numFmtId="0" fontId="9" fillId="0" borderId="48" applyAlignment="1" pivotButton="0" quotePrefix="0" xfId="0">
      <alignment horizontal="left" vertical="center" wrapText="1"/>
    </xf>
    <xf numFmtId="0" fontId="20" fillId="0" borderId="48" applyAlignment="1" pivotButton="0" quotePrefix="0" xfId="0">
      <alignment horizontal="left" vertical="center" wrapText="1"/>
    </xf>
    <xf numFmtId="0" fontId="0" fillId="0" borderId="48" pivotButton="0" quotePrefix="0" xfId="0"/>
    <xf numFmtId="0" fontId="0" fillId="30" borderId="4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" fontId="0" fillId="30" borderId="43" applyAlignment="1" pivotButton="0" quotePrefix="0" xfId="0">
      <alignment horizontal="center" vertical="center"/>
    </xf>
    <xf numFmtId="0" fontId="0" fillId="0" borderId="44" pivotButton="0" quotePrefix="0" xfId="0"/>
    <xf numFmtId="49" fontId="0" fillId="30" borderId="1" applyAlignment="1" pivotButton="0" quotePrefix="0" xfId="0">
      <alignment horizontal="center" vertical="center"/>
    </xf>
    <xf numFmtId="0" fontId="0" fillId="0" borderId="46" pivotButton="0" quotePrefix="0" xfId="0"/>
    <xf numFmtId="49" fontId="0" fillId="30" borderId="48" applyAlignment="1" pivotButton="0" quotePrefix="0" xfId="0">
      <alignment horizontal="center" vertical="center"/>
    </xf>
    <xf numFmtId="0" fontId="0" fillId="0" borderId="49" pivotButton="0" quotePrefix="0" xfId="0"/>
    <xf numFmtId="0" fontId="1" fillId="31" borderId="0" applyAlignment="1" pivotButton="0" quotePrefix="0" xfId="0">
      <alignment horizontal="left" vertical="center"/>
    </xf>
    <xf numFmtId="0" fontId="2" fillId="31" borderId="0" applyAlignment="1" pivotButton="0" quotePrefix="0" xfId="0">
      <alignment horizontal="left" vertical="center"/>
    </xf>
    <xf numFmtId="0" fontId="21" fillId="32" borderId="2" applyAlignment="1" pivotButton="0" quotePrefix="0" xfId="0">
      <alignment horizontal="left" vertical="center"/>
    </xf>
    <xf numFmtId="0" fontId="9" fillId="32" borderId="5" applyAlignment="1" pivotButton="0" quotePrefix="0" xfId="0">
      <alignment horizontal="left" vertical="top" wrapText="1"/>
    </xf>
    <xf numFmtId="0" fontId="6" fillId="8" borderId="50" applyAlignment="1" pivotButton="0" quotePrefix="0" xfId="0">
      <alignment horizontal="center" vertical="center"/>
    </xf>
    <xf numFmtId="0" fontId="6" fillId="8" borderId="51" applyAlignment="1" pivotButton="0" quotePrefix="0" xfId="0">
      <alignment horizontal="center" vertical="center"/>
    </xf>
    <xf numFmtId="0" fontId="6" fillId="8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left" vertical="center" wrapText="1"/>
    </xf>
    <xf numFmtId="0" fontId="3" fillId="33" borderId="54" applyAlignment="1" pivotButton="0" quotePrefix="0" xfId="0">
      <alignment horizontal="left" vertical="center" wrapText="1"/>
    </xf>
    <xf numFmtId="0" fontId="5" fillId="33" borderId="53" applyAlignment="1" pivotButton="0" quotePrefix="0" xfId="0">
      <alignment horizontal="left" vertical="center" wrapText="1"/>
    </xf>
    <xf numFmtId="0" fontId="5" fillId="34" borderId="1" applyAlignment="1" pivotButton="0" quotePrefix="0" xfId="0">
      <alignment horizontal="left" vertical="center" wrapText="1"/>
    </xf>
    <xf numFmtId="0" fontId="5" fillId="34" borderId="54" applyAlignment="1" pivotButton="0" quotePrefix="0" xfId="0">
      <alignment horizontal="left" vertical="center" wrapText="1"/>
    </xf>
    <xf numFmtId="0" fontId="5" fillId="33" borderId="55" applyAlignment="1" pivotButton="0" quotePrefix="0" xfId="0">
      <alignment horizontal="left" vertical="center" wrapText="1"/>
    </xf>
    <xf numFmtId="0" fontId="5" fillId="34" borderId="56" applyAlignment="1" pivotButton="0" quotePrefix="0" xfId="0">
      <alignment horizontal="left" vertical="center" wrapText="1"/>
    </xf>
    <xf numFmtId="0" fontId="5" fillId="34" borderId="57" applyAlignment="1" pivotButton="0" quotePrefix="0" xfId="0">
      <alignment horizontal="left" vertical="center" wrapText="1"/>
    </xf>
    <xf numFmtId="0" fontId="22" fillId="0" borderId="0" pivotButton="0" quotePrefix="0" xfId="0"/>
    <xf numFmtId="0" fontId="9" fillId="0" borderId="50" applyAlignment="1" pivotButton="0" quotePrefix="0" xfId="0">
      <alignment horizontal="left" vertical="center" wrapText="1"/>
    </xf>
    <xf numFmtId="0" fontId="0" fillId="0" borderId="51" pivotButton="0" quotePrefix="0" xfId="0"/>
    <xf numFmtId="49" fontId="0" fillId="34" borderId="51" applyAlignment="1" pivotButton="0" quotePrefix="0" xfId="0">
      <alignment horizontal="center" vertical="center"/>
    </xf>
    <xf numFmtId="0" fontId="0" fillId="0" borderId="52" pivotButton="0" quotePrefix="0" xfId="0"/>
    <xf numFmtId="0" fontId="9" fillId="0" borderId="53" applyAlignment="1" pivotButton="0" quotePrefix="0" xfId="0">
      <alignment horizontal="left" vertical="center" wrapText="1"/>
    </xf>
    <xf numFmtId="49" fontId="0" fillId="34" borderId="1" applyAlignment="1" pivotButton="0" quotePrefix="0" xfId="0">
      <alignment horizontal="center" vertical="center"/>
    </xf>
    <xf numFmtId="0" fontId="0" fillId="0" borderId="54" pivotButton="0" quotePrefix="0" xfId="0"/>
    <xf numFmtId="0" fontId="9" fillId="0" borderId="55" applyAlignment="1" pivotButton="0" quotePrefix="0" xfId="0">
      <alignment horizontal="left" vertical="center" wrapText="1"/>
    </xf>
    <xf numFmtId="0" fontId="0" fillId="0" borderId="56" pivotButton="0" quotePrefix="0" xfId="0"/>
    <xf numFmtId="49" fontId="0" fillId="34" borderId="56" applyAlignment="1" pivotButton="0" quotePrefix="0" xfId="0">
      <alignment horizontal="center" vertical="center"/>
    </xf>
    <xf numFmtId="0" fontId="0" fillId="0" borderId="57" pivotButton="0" quotePrefix="0" xfId="0"/>
    <xf numFmtId="0" fontId="1" fillId="35" borderId="0" applyAlignment="1" pivotButton="0" quotePrefix="0" xfId="0">
      <alignment horizontal="left" vertical="center"/>
    </xf>
    <xf numFmtId="0" fontId="2" fillId="35" borderId="0" applyAlignment="1" pivotButton="0" quotePrefix="0" xfId="0">
      <alignment horizontal="left" vertical="center"/>
    </xf>
    <xf numFmtId="0" fontId="23" fillId="36" borderId="2" applyAlignment="1" pivotButton="0" quotePrefix="0" xfId="0">
      <alignment horizontal="left" vertical="center"/>
    </xf>
    <xf numFmtId="0" fontId="9" fillId="36" borderId="5" applyAlignment="1" pivotButton="0" quotePrefix="0" xfId="0">
      <alignment horizontal="left" vertical="top" wrapText="1"/>
    </xf>
    <xf numFmtId="0" fontId="6" fillId="9" borderId="58" applyAlignment="1" pivotButton="0" quotePrefix="0" xfId="0">
      <alignment horizontal="center" vertical="center"/>
    </xf>
    <xf numFmtId="0" fontId="6" fillId="9" borderId="59" applyAlignment="1" pivotButton="0" quotePrefix="0" xfId="0">
      <alignment horizontal="center" vertical="center"/>
    </xf>
    <xf numFmtId="0" fontId="6" fillId="9" borderId="60" applyAlignment="1" pivotButton="0" quotePrefix="0" xfId="0">
      <alignment horizontal="center" vertical="center"/>
    </xf>
    <xf numFmtId="0" fontId="5" fillId="0" borderId="61" applyAlignment="1" pivotButton="0" quotePrefix="0" xfId="0">
      <alignment horizontal="left" vertical="center" wrapText="1"/>
    </xf>
    <xf numFmtId="0" fontId="5" fillId="0" borderId="62" applyAlignment="1" pivotButton="0" quotePrefix="0" xfId="0">
      <alignment horizontal="center" vertical="center"/>
    </xf>
    <xf numFmtId="0" fontId="5" fillId="37" borderId="61" applyAlignment="1" pivotButton="0" quotePrefix="0" xfId="0">
      <alignment horizontal="left" vertical="center" wrapText="1"/>
    </xf>
    <xf numFmtId="0" fontId="5" fillId="37" borderId="1" applyAlignment="1" pivotButton="0" quotePrefix="0" xfId="0">
      <alignment horizontal="center" vertical="center"/>
    </xf>
    <xf numFmtId="0" fontId="5" fillId="37" borderId="62" applyAlignment="1" pivotButton="0" quotePrefix="0" xfId="0">
      <alignment horizontal="center" vertical="center"/>
    </xf>
    <xf numFmtId="0" fontId="5" fillId="37" borderId="63" applyAlignment="1" pivotButton="0" quotePrefix="0" xfId="0">
      <alignment horizontal="left" vertical="center" wrapText="1"/>
    </xf>
    <xf numFmtId="0" fontId="5" fillId="37" borderId="64" applyAlignment="1" pivotButton="0" quotePrefix="0" xfId="0">
      <alignment horizontal="center" vertical="center"/>
    </xf>
    <xf numFmtId="0" fontId="5" fillId="37" borderId="65" applyAlignment="1" pivotButton="0" quotePrefix="0" xfId="0">
      <alignment horizontal="center" vertical="center"/>
    </xf>
    <xf numFmtId="0" fontId="24" fillId="0" borderId="0" pivotButton="0" quotePrefix="0" xfId="0"/>
    <xf numFmtId="0" fontId="9" fillId="0" borderId="58" applyAlignment="1" pivotButton="0" quotePrefix="0" xfId="0">
      <alignment horizontal="left" vertical="center" wrapText="1"/>
    </xf>
    <xf numFmtId="0" fontId="0" fillId="0" borderId="59" pivotButton="0" quotePrefix="0" xfId="0"/>
    <xf numFmtId="49" fontId="0" fillId="38" borderId="59" applyAlignment="1" pivotButton="0" quotePrefix="0" xfId="0">
      <alignment horizontal="center" vertical="center"/>
    </xf>
    <xf numFmtId="0" fontId="0" fillId="0" borderId="60" pivotButton="0" quotePrefix="0" xfId="0"/>
    <xf numFmtId="0" fontId="9" fillId="0" borderId="61" applyAlignment="1" pivotButton="0" quotePrefix="0" xfId="0">
      <alignment horizontal="left" vertical="center" wrapText="1"/>
    </xf>
    <xf numFmtId="49" fontId="0" fillId="38" borderId="1" applyAlignment="1" pivotButton="0" quotePrefix="0" xfId="0">
      <alignment horizontal="center" vertical="center"/>
    </xf>
    <xf numFmtId="0" fontId="0" fillId="0" borderId="62" pivotButton="0" quotePrefix="0" xfId="0"/>
    <xf numFmtId="0" fontId="9" fillId="0" borderId="63" applyAlignment="1" pivotButton="0" quotePrefix="0" xfId="0">
      <alignment horizontal="left" vertical="center" wrapText="1"/>
    </xf>
    <xf numFmtId="0" fontId="0" fillId="0" borderId="64" pivotButton="0" quotePrefix="0" xfId="0"/>
    <xf numFmtId="49" fontId="0" fillId="38" borderId="64" applyAlignment="1" pivotButton="0" quotePrefix="0" xfId="0">
      <alignment horizontal="center" vertical="center"/>
    </xf>
    <xf numFmtId="0" fontId="0" fillId="0" borderId="65" pivotButton="0" quotePrefix="0" xfId="0"/>
    <xf numFmtId="0" fontId="1" fillId="39" borderId="0" applyAlignment="1" pivotButton="0" quotePrefix="0" xfId="0">
      <alignment horizontal="left" vertical="center"/>
    </xf>
    <xf numFmtId="0" fontId="2" fillId="39" borderId="0" applyAlignment="1" pivotButton="0" quotePrefix="0" xfId="0">
      <alignment horizontal="left" vertical="center"/>
    </xf>
    <xf numFmtId="0" fontId="25" fillId="40" borderId="2" applyAlignment="1" pivotButton="0" quotePrefix="0" xfId="0">
      <alignment horizontal="left" vertical="center"/>
    </xf>
    <xf numFmtId="0" fontId="9" fillId="40" borderId="5" applyAlignment="1" pivotButton="0" quotePrefix="0" xfId="0">
      <alignment horizontal="left" vertical="top" wrapText="1"/>
    </xf>
    <xf numFmtId="0" fontId="6" fillId="10" borderId="66" applyAlignment="1" pivotButton="0" quotePrefix="0" xfId="0">
      <alignment horizontal="center" vertical="center"/>
    </xf>
    <xf numFmtId="0" fontId="6" fillId="10" borderId="67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5" fillId="41" borderId="68" applyAlignment="1" pivotButton="0" quotePrefix="0" xfId="0">
      <alignment horizontal="center" vertical="center"/>
    </xf>
    <xf numFmtId="0" fontId="5" fillId="41" borderId="69" applyAlignment="1" pivotButton="0" quotePrefix="0" xfId="0">
      <alignment horizontal="center" vertical="center"/>
    </xf>
    <xf numFmtId="0" fontId="5" fillId="41" borderId="70" applyAlignment="1" pivotButton="0" quotePrefix="0" xfId="0">
      <alignment horizontal="center" vertical="center"/>
    </xf>
    <xf numFmtId="0" fontId="5" fillId="41" borderId="71" applyAlignment="1" pivotButton="0" quotePrefix="0" xfId="0">
      <alignment horizontal="center" vertical="center"/>
    </xf>
    <xf numFmtId="0" fontId="26" fillId="0" borderId="0" pivotButton="0" quotePrefix="0" xfId="0"/>
    <xf numFmtId="0" fontId="9" fillId="0" borderId="66" applyAlignment="1" pivotButton="0" quotePrefix="0" xfId="0">
      <alignment horizontal="left" vertical="center" wrapText="1"/>
    </xf>
    <xf numFmtId="0" fontId="0" fillId="0" borderId="72" pivotButton="0" quotePrefix="0" xfId="0"/>
    <xf numFmtId="49" fontId="0" fillId="42" borderId="72" applyAlignment="1" pivotButton="0" quotePrefix="0" xfId="0">
      <alignment horizontal="center" vertical="center"/>
    </xf>
    <xf numFmtId="0" fontId="0" fillId="0" borderId="67" pivotButton="0" quotePrefix="0" xfId="0"/>
    <xf numFmtId="0" fontId="9" fillId="0" borderId="68" applyAlignment="1" pivotButton="0" quotePrefix="0" xfId="0">
      <alignment horizontal="left" vertical="center" wrapText="1"/>
    </xf>
    <xf numFmtId="49" fontId="0" fillId="42" borderId="1" applyAlignment="1" pivotButton="0" quotePrefix="0" xfId="0">
      <alignment horizontal="center" vertical="center"/>
    </xf>
    <xf numFmtId="0" fontId="0" fillId="0" borderId="69" pivotButton="0" quotePrefix="0" xfId="0"/>
    <xf numFmtId="0" fontId="9" fillId="0" borderId="70" applyAlignment="1" pivotButton="0" quotePrefix="0" xfId="0">
      <alignment horizontal="left" vertical="center" wrapText="1"/>
    </xf>
    <xf numFmtId="0" fontId="0" fillId="0" borderId="73" pivotButton="0" quotePrefix="0" xfId="0"/>
    <xf numFmtId="49" fontId="0" fillId="42" borderId="73" applyAlignment="1" pivotButton="0" quotePrefix="0" xfId="0">
      <alignment horizontal="center" vertical="center"/>
    </xf>
    <xf numFmtId="0" fontId="0" fillId="0" borderId="7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2" customWidth="1" min="3" max="3"/>
  </cols>
  <sheetData>
    <row r="2" ht="30" customHeight="1">
      <c r="B2" s="1" t="inlineStr">
        <is>
          <t xml:space="preserve">  CADERNO DE EXERCÍCIOS — EXCEL 2019</t>
        </is>
      </c>
    </row>
    <row r="3" ht="16" customHeight="1">
      <c r="B3" s="2" t="inlineStr">
        <is>
          <t xml:space="preserve">  Aulas 08, 09, 10 e 11 • nível intermediário</t>
        </is>
      </c>
    </row>
    <row r="4">
      <c r="B4" s="3" t="n"/>
    </row>
    <row r="6" ht="20" customHeight="1">
      <c r="B6" s="4" t="inlineStr">
        <is>
          <t>O QUE VAMOS APRENDER</t>
        </is>
      </c>
    </row>
    <row r="7" ht="48" customHeight="1">
      <c r="C7" s="5" t="inlineStr">
        <is>
          <t>Agora o Excel fica mais poderoso: organizar e proteger seu arquivo (Aula 8), BUSCAR dados automaticamente com o PROCV (Aula 9), tratar TEXTO com fórmulas (Aula 10) e montar GRÁFICOS avançados (Aula 11). Tem exercício de fazer na tela e de escrever fórmula.</t>
        </is>
      </c>
    </row>
    <row r="9" ht="20" customHeight="1">
      <c r="B9" s="4" t="inlineStr">
        <is>
          <t>O QUE CADA EXERCÍCIO TREINA</t>
        </is>
      </c>
    </row>
    <row r="10" ht="30" customHeight="1">
      <c r="B10" s="6" t="inlineStr">
        <is>
          <t xml:space="preserve">  Ex 1 — Organizar Abas</t>
        </is>
      </c>
      <c r="C10" s="7" t="inlineStr">
        <is>
          <t>Aula 8: inserir, renomear, colorir, mover e copiar planilhas</t>
        </is>
      </c>
    </row>
    <row r="11" ht="30" customHeight="1">
      <c r="B11" s="8" t="inlineStr">
        <is>
          <t xml:space="preserve">  Ex 2 — Proteger Planilha</t>
        </is>
      </c>
      <c r="C11" s="7" t="inlineStr">
        <is>
          <t>Aula 8: travar células e proteger a planilha com senha</t>
        </is>
      </c>
    </row>
    <row r="12" ht="30" customHeight="1">
      <c r="B12" s="9" t="inlineStr">
        <is>
          <t xml:space="preserve">  Ex 3 — PROCV básico</t>
        </is>
      </c>
      <c r="C12" s="7" t="inlineStr">
        <is>
          <t>Aula 9: buscar o nome e o preço de um produto pelo código</t>
        </is>
      </c>
    </row>
    <row r="13" ht="30" customHeight="1">
      <c r="B13" s="10" t="inlineStr">
        <is>
          <t xml:space="preserve">  Ex 4 — PROCV nos pedidos</t>
        </is>
      </c>
      <c r="C13" s="7" t="inlineStr">
        <is>
          <t>Aula 9: PROCV + cálculo para montar uma nota de compra</t>
        </is>
      </c>
    </row>
    <row r="14" ht="30" customHeight="1">
      <c r="B14" s="11" t="inlineStr">
        <is>
          <t xml:space="preserve">  Ex 5 — Extrair Texto</t>
        </is>
      </c>
      <c r="C14" s="7" t="inlineStr">
        <is>
          <t>Aula 10: ESQUERDA, DIREITA, EXT.TEXTO e NÚM.CARACT</t>
        </is>
      </c>
    </row>
    <row r="15" ht="30" customHeight="1">
      <c r="B15" s="12" t="inlineStr">
        <is>
          <t xml:space="preserve">  Ex 6 — Arrumar Texto</t>
        </is>
      </c>
      <c r="C15" s="7" t="inlineStr">
        <is>
          <t>Aula 10: MAIÚSCULA, MINÚSCULA, PRI.MAIÚSCULA e ARRUMAR</t>
        </is>
      </c>
    </row>
    <row r="16" ht="30" customHeight="1">
      <c r="B16" s="13" t="inlineStr">
        <is>
          <t xml:space="preserve">  Ex 7 — Eixo Secundário</t>
        </is>
      </c>
      <c r="C16" s="7" t="inlineStr">
        <is>
          <t>Aula 11: gráfico combinado com 2 eixos (linha + coluna)</t>
        </is>
      </c>
    </row>
    <row r="17" ht="30" customHeight="1">
      <c r="B17" s="14" t="inlineStr">
        <is>
          <t xml:space="preserve">  Ex 8 — Gráfico de Dispersão</t>
        </is>
      </c>
      <c r="C17" s="7" t="inlineStr">
        <is>
          <t>Aula 11: dispersão (X × Y) e linha de tendência</t>
        </is>
      </c>
    </row>
    <row r="19">
      <c r="B19" s="4" t="inlineStr">
        <is>
          <t>LEGENDA</t>
        </is>
      </c>
    </row>
    <row r="20">
      <c r="C20" s="15" t="inlineStr">
        <is>
          <t>Amarelo = você preenche (resposta ou fórmula)</t>
        </is>
      </c>
    </row>
    <row r="21">
      <c r="C21" s="16" t="inlineStr">
        <is>
          <t>Cinza = exemplo já resolvido</t>
        </is>
      </c>
    </row>
    <row r="23" ht="32" customHeight="1">
      <c r="C23" s="17" t="inlineStr">
        <is>
          <t>Dica de PROCV: a fórmula é  =PROCV(o que buscar ; onde buscar ; qual coluna trazer ; FALSO). O FALSO no fim significa "correspondência exata" — use sempre ele!</t>
        </is>
      </c>
    </row>
  </sheetData>
  <mergeCells count="5">
    <mergeCell ref="B6:C6"/>
    <mergeCell ref="B2:C2"/>
    <mergeCell ref="B3:C3"/>
    <mergeCell ref="B19:C19"/>
    <mergeCell ref="B9:C9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18" t="inlineStr">
        <is>
          <t xml:space="preserve">  EXERCÍCIO 1 — ORGANIZANDO AS ABAS</t>
        </is>
      </c>
    </row>
    <row r="3" ht="16" customHeight="1">
      <c r="B3" s="19" t="inlineStr">
        <is>
          <t xml:space="preserve">  Aula 8: inserir, renomear, colorir e mover planilhas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20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23" t="inlineStr">
        <is>
          <t>1.  Tudo aqui é feito nas ABAS lá embaixo (as guias das planilhas).
2.  Para ver as opções, clique com o BOTÃO DIREITO em cima de uma aba.
3.  Aparecem: Inserir, Excluir, Renomear, Cor da Guia e Mover/Copiar.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6" t="n"/>
      <c r="C10" s="27" t="n"/>
      <c r="D10" s="27" t="n"/>
      <c r="E10" s="27" t="n"/>
      <c r="F10" s="27" t="n"/>
      <c r="G10" s="27" t="n"/>
      <c r="H10" s="28" t="n"/>
    </row>
    <row r="11" ht="22" customHeight="1">
      <c r="B11" s="29" t="inlineStr">
        <is>
          <t>Faça na ordem</t>
        </is>
      </c>
    </row>
    <row r="12" ht="39" customHeight="1">
      <c r="B12" s="30" t="inlineStr">
        <is>
          <t>1) Renomear esta aba</t>
        </is>
      </c>
      <c r="C12" s="31" t="n"/>
      <c r="D12" s="32" t="inlineStr">
        <is>
          <t>Dê 2 cliques no nome desta aba (embaixo) e troque para o SEU PRIMEIRO NOME.</t>
        </is>
      </c>
      <c r="E12" s="31" t="n"/>
      <c r="F12" s="31" t="n"/>
      <c r="G12" s="31" t="n"/>
      <c r="H12" s="33" t="n"/>
    </row>
    <row r="13" ht="39" customHeight="1">
      <c r="B13" s="34" t="inlineStr">
        <is>
          <t>2) Colorir a guia</t>
        </is>
      </c>
      <c r="C13" s="35" t="n"/>
      <c r="D13" s="36" t="inlineStr">
        <is>
          <t>Botão direito na aba &gt; Cor da Guia &gt; escolha a sua cor favorita.</t>
        </is>
      </c>
      <c r="E13" s="35" t="n"/>
      <c r="F13" s="35" t="n"/>
      <c r="G13" s="35" t="n"/>
      <c r="H13" s="37" t="n"/>
    </row>
    <row r="14" ht="39" customHeight="1">
      <c r="B14" s="34" t="inlineStr">
        <is>
          <t>3) Nova planilha</t>
        </is>
      </c>
      <c r="C14" s="35" t="n"/>
      <c r="D14" s="36" t="inlineStr">
        <is>
          <t>Clique no botão + ao lado das abas (ou botão direito &gt; Inserir) e crie uma aba nova.</t>
        </is>
      </c>
      <c r="E14" s="35" t="n"/>
      <c r="F14" s="35" t="n"/>
      <c r="G14" s="35" t="n"/>
      <c r="H14" s="37" t="n"/>
    </row>
    <row r="15" ht="24" customHeight="1">
      <c r="B15" s="34" t="inlineStr">
        <is>
          <t>4) Renomear a nova</t>
        </is>
      </c>
      <c r="C15" s="35" t="n"/>
      <c r="D15" s="36" t="inlineStr">
        <is>
          <t>Nomeie a nova aba como "Contas".</t>
        </is>
      </c>
      <c r="E15" s="35" t="n"/>
      <c r="F15" s="35" t="n"/>
      <c r="G15" s="35" t="n"/>
      <c r="H15" s="37" t="n"/>
    </row>
    <row r="16" ht="39" customHeight="1">
      <c r="B16" s="34" t="inlineStr">
        <is>
          <t>5) Mover a aba</t>
        </is>
      </c>
      <c r="C16" s="35" t="n"/>
      <c r="D16" s="36" t="inlineStr">
        <is>
          <t>Arraste a aba "Contas" para que ela fique em PRIMEIRO lugar (bem à esquerda).</t>
        </is>
      </c>
      <c r="E16" s="35" t="n"/>
      <c r="F16" s="35" t="n"/>
      <c r="G16" s="35" t="n"/>
      <c r="H16" s="37" t="n"/>
    </row>
    <row r="17" ht="39" customHeight="1">
      <c r="B17" s="38" t="inlineStr">
        <is>
          <t>6) Excluir</t>
        </is>
      </c>
      <c r="C17" s="39" t="n"/>
      <c r="D17" s="40" t="inlineStr">
        <is>
          <t>Crie mais uma aba qualquer e depois exclua ela (botão direito &gt; Excluir).</t>
        </is>
      </c>
      <c r="E17" s="39" t="n"/>
      <c r="F17" s="39" t="n"/>
      <c r="G17" s="39" t="n"/>
      <c r="H17" s="41" t="n"/>
    </row>
    <row r="19" ht="22" customHeight="1">
      <c r="B19" s="29" t="inlineStr">
        <is>
          <t>Responda</t>
        </is>
      </c>
    </row>
    <row r="20" ht="20" customHeight="1">
      <c r="B20" s="42" t="inlineStr">
        <is>
          <t>a) Quantas abas ficaram no arquivo no final? (conte embaixo)</t>
        </is>
      </c>
      <c r="C20" s="31" t="n"/>
      <c r="D20" s="31" t="n"/>
      <c r="E20" s="31" t="n"/>
      <c r="F20" s="31" t="n"/>
      <c r="G20" s="43" t="n"/>
      <c r="H20" s="33" t="n"/>
    </row>
    <row r="21" ht="20" customHeight="1">
      <c r="B21" s="44" t="inlineStr">
        <is>
          <t>b) Como se chama a 1ª aba (da esquerda)?</t>
        </is>
      </c>
      <c r="C21" s="35" t="n"/>
      <c r="D21" s="35" t="n"/>
      <c r="E21" s="35" t="n"/>
      <c r="F21" s="35" t="n"/>
      <c r="G21" s="45" t="n"/>
      <c r="H21" s="37" t="n"/>
    </row>
    <row r="22" ht="20" customHeight="1">
      <c r="B22" s="46" t="inlineStr">
        <is>
          <t>c) Que ação usamos para dar 2 cliques no nome? (renomear/excluir)</t>
        </is>
      </c>
      <c r="C22" s="39" t="n"/>
      <c r="D22" s="39" t="n"/>
      <c r="E22" s="39" t="n"/>
      <c r="F22" s="39" t="n"/>
      <c r="G22" s="47" t="n"/>
      <c r="H22" s="41" t="n"/>
    </row>
  </sheetData>
  <mergeCells count="22">
    <mergeCell ref="G21:H21"/>
    <mergeCell ref="B16:C16"/>
    <mergeCell ref="B6:H6"/>
    <mergeCell ref="B22:F22"/>
    <mergeCell ref="B12:C12"/>
    <mergeCell ref="B21:F21"/>
    <mergeCell ref="G22:H22"/>
    <mergeCell ref="D13:H13"/>
    <mergeCell ref="B14:C14"/>
    <mergeCell ref="B17:C17"/>
    <mergeCell ref="B3:H3"/>
    <mergeCell ref="D17:H17"/>
    <mergeCell ref="B13:C13"/>
    <mergeCell ref="D16:H16"/>
    <mergeCell ref="B2:H2"/>
    <mergeCell ref="D12:H12"/>
    <mergeCell ref="G20:H20"/>
    <mergeCell ref="B15:C15"/>
    <mergeCell ref="D15:H15"/>
    <mergeCell ref="B20:F20"/>
    <mergeCell ref="D14:H14"/>
    <mergeCell ref="B7:H10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48" t="inlineStr">
        <is>
          <t xml:space="preserve">  EXERCÍCIO 2 — PROTEGER A PLANILHA</t>
        </is>
      </c>
    </row>
    <row r="3" ht="16" customHeight="1">
      <c r="B3" s="49" t="inlineStr">
        <is>
          <t xml:space="preserve">  Aula 8: travar células e usar senha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50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51" t="inlineStr">
        <is>
          <t>1.  Segurança importa: aqui você impede que alguém estrague a planilha por engano.
2.  As ferramentas ficam na guia REVISÃO &gt; Proteger Planilha.
3.  Siga a ordem das tarefas abaixo com atenção.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6" t="n"/>
      <c r="C10" s="27" t="n"/>
      <c r="D10" s="27" t="n"/>
      <c r="E10" s="27" t="n"/>
      <c r="F10" s="27" t="n"/>
      <c r="G10" s="27" t="n"/>
      <c r="H10" s="28" t="n"/>
    </row>
    <row r="11" ht="22" customHeight="1">
      <c r="B11" s="52" t="inlineStr">
        <is>
          <t>Produto</t>
        </is>
      </c>
      <c r="C11" s="53" t="inlineStr">
        <is>
          <t>Preço (R$)</t>
        </is>
      </c>
      <c r="D11" s="54" t="inlineStr">
        <is>
          <t>Estoque</t>
        </is>
      </c>
    </row>
    <row r="12">
      <c r="B12" s="55" t="inlineStr">
        <is>
          <t>Arroz</t>
        </is>
      </c>
      <c r="C12" s="56" t="n">
        <v>24.9</v>
      </c>
      <c r="D12" s="57" t="n">
        <v>50</v>
      </c>
    </row>
    <row r="13">
      <c r="B13" s="58" t="inlineStr">
        <is>
          <t>Feijão</t>
        </is>
      </c>
      <c r="C13" s="56" t="n">
        <v>7.5</v>
      </c>
      <c r="D13" s="59" t="n">
        <v>80</v>
      </c>
    </row>
    <row r="14">
      <c r="B14" s="55" t="inlineStr">
        <is>
          <t>Café</t>
        </is>
      </c>
      <c r="C14" s="56" t="n">
        <v>18</v>
      </c>
      <c r="D14" s="57" t="n">
        <v>30</v>
      </c>
    </row>
    <row r="15">
      <c r="B15" s="60" t="inlineStr">
        <is>
          <t>Açúcar</t>
        </is>
      </c>
      <c r="C15" s="61" t="n">
        <v>4.8</v>
      </c>
      <c r="D15" s="62" t="n">
        <v>60</v>
      </c>
    </row>
    <row r="17" ht="22" customHeight="1">
      <c r="B17" s="63" t="inlineStr">
        <is>
          <t>Faça na ordem</t>
        </is>
      </c>
    </row>
    <row r="18" ht="39" customHeight="1">
      <c r="B18" s="64" t="inlineStr">
        <is>
          <t>1) Liberar o Estoque</t>
        </is>
      </c>
      <c r="C18" s="65" t="n"/>
      <c r="D18" s="66" t="inlineStr">
        <is>
          <t>Selecione a coluna Estoque &gt; botão direito &gt; Formatar Células &gt; aba Proteção &gt; DESMARQUE "Bloqueadas" &gt; OK.</t>
        </is>
      </c>
      <c r="E18" s="65" t="n"/>
      <c r="F18" s="65" t="n"/>
      <c r="G18" s="65" t="n"/>
      <c r="H18" s="67" t="n"/>
    </row>
    <row r="19" ht="39" customHeight="1">
      <c r="B19" s="68" t="inlineStr">
        <is>
          <t>2) Proteger a planilha</t>
        </is>
      </c>
      <c r="C19" s="35" t="n"/>
      <c r="D19" s="36" t="inlineStr">
        <is>
          <t>Guia REVISÃO &gt; Proteger Planilha &gt; crie a senha  aula123  &gt; OK e confirme.</t>
        </is>
      </c>
      <c r="E19" s="35" t="n"/>
      <c r="F19" s="35" t="n"/>
      <c r="G19" s="35" t="n"/>
      <c r="H19" s="69" t="n"/>
    </row>
    <row r="20" ht="39" customHeight="1">
      <c r="B20" s="68" t="inlineStr">
        <is>
          <t>3) Testar o bloqueio</t>
        </is>
      </c>
      <c r="C20" s="35" t="n"/>
      <c r="D20" s="36" t="inlineStr">
        <is>
          <t>Tente digitar em cima de um PREÇO: o Excel vai avisar que está protegido.</t>
        </is>
      </c>
      <c r="E20" s="35" t="n"/>
      <c r="F20" s="35" t="n"/>
      <c r="G20" s="35" t="n"/>
      <c r="H20" s="69" t="n"/>
    </row>
    <row r="21" ht="39" customHeight="1">
      <c r="B21" s="68" t="inlineStr">
        <is>
          <t>4) Testar o liberado</t>
        </is>
      </c>
      <c r="C21" s="35" t="n"/>
      <c r="D21" s="36" t="inlineStr">
        <is>
          <t>Agora tente mudar um número do ESTOQUE: esse você consegue, porque desbloqueou antes!</t>
        </is>
      </c>
      <c r="E21" s="35" t="n"/>
      <c r="F21" s="35" t="n"/>
      <c r="G21" s="35" t="n"/>
      <c r="H21" s="69" t="n"/>
    </row>
    <row r="22" ht="24" customHeight="1">
      <c r="B22" s="70" t="inlineStr">
        <is>
          <t>5) Desproteger</t>
        </is>
      </c>
      <c r="C22" s="71" t="n"/>
      <c r="D22" s="72" t="inlineStr">
        <is>
          <t>REVISÃO &gt; Desproteger Planilha &gt; digite  aula123 .</t>
        </is>
      </c>
      <c r="E22" s="71" t="n"/>
      <c r="F22" s="71" t="n"/>
      <c r="G22" s="71" t="n"/>
      <c r="H22" s="73" t="n"/>
    </row>
    <row r="24" ht="22" customHeight="1">
      <c r="B24" s="63" t="inlineStr">
        <is>
          <t>Responda</t>
        </is>
      </c>
    </row>
    <row r="25" ht="20" customHeight="1">
      <c r="B25" s="74" t="inlineStr">
        <is>
          <t>a) Depois de proteger, você consegue mudar o PREÇO? (sim/não)</t>
        </is>
      </c>
      <c r="C25" s="65" t="n"/>
      <c r="D25" s="65" t="n"/>
      <c r="E25" s="65" t="n"/>
      <c r="F25" s="65" t="n"/>
      <c r="G25" s="75" t="n"/>
      <c r="H25" s="67" t="n"/>
    </row>
    <row r="26" ht="20" customHeight="1">
      <c r="B26" s="76" t="inlineStr">
        <is>
          <t>b) E o ESTOQUE, consegue mudar? (sim/não)</t>
        </is>
      </c>
      <c r="C26" s="35" t="n"/>
      <c r="D26" s="35" t="n"/>
      <c r="E26" s="35" t="n"/>
      <c r="F26" s="35" t="n"/>
      <c r="G26" s="77" t="n"/>
      <c r="H26" s="69" t="n"/>
    </row>
    <row r="27" ht="20" customHeight="1">
      <c r="B27" s="78" t="inlineStr">
        <is>
          <t>c) Qual guia tem o botão "Proteger Planilha"?</t>
        </is>
      </c>
      <c r="C27" s="71" t="n"/>
      <c r="D27" s="71" t="n"/>
      <c r="E27" s="71" t="n"/>
      <c r="F27" s="71" t="n"/>
      <c r="G27" s="79" t="n"/>
      <c r="H27" s="73" t="n"/>
    </row>
  </sheetData>
  <mergeCells count="20">
    <mergeCell ref="D20:H20"/>
    <mergeCell ref="B25:F25"/>
    <mergeCell ref="D19:H19"/>
    <mergeCell ref="G27:H27"/>
    <mergeCell ref="B6:H6"/>
    <mergeCell ref="B22:C22"/>
    <mergeCell ref="B18:C18"/>
    <mergeCell ref="D22:H22"/>
    <mergeCell ref="B27:F27"/>
    <mergeCell ref="B21:C21"/>
    <mergeCell ref="D21:H21"/>
    <mergeCell ref="B3:H3"/>
    <mergeCell ref="B19:C19"/>
    <mergeCell ref="B2:H2"/>
    <mergeCell ref="D18:H18"/>
    <mergeCell ref="G26:H26"/>
    <mergeCell ref="B20:C20"/>
    <mergeCell ref="G25:H25"/>
    <mergeCell ref="B7:H10"/>
    <mergeCell ref="B26:F2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4" customWidth="1" min="4" max="4"/>
    <col width="13" customWidth="1" min="5" max="5"/>
    <col width="16" customWidth="1" min="6" max="6"/>
    <col width="13" customWidth="1" min="7" max="7"/>
    <col width="13" customWidth="1" min="8" max="8"/>
  </cols>
  <sheetData>
    <row r="2" ht="30" customHeight="1">
      <c r="B2" s="80" t="inlineStr">
        <is>
          <t xml:space="preserve">  EXERCÍCIO 3 — PROCV: BUSCAR PELO CÓDIGO</t>
        </is>
      </c>
    </row>
    <row r="3" ht="16" customHeight="1">
      <c r="B3" s="81" t="inlineStr">
        <is>
          <t xml:space="preserve">  Aula 9: a função que procura sozinha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82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83" t="inlineStr">
        <is>
          <t>O PROCV procura um código na 1ª coluna da tabela de preços (B9:D16) e traz o dado da mesma linha. A 1ª resposta (cinza) já está pronta como exemplo — copie o formato.
1.  Escreva a fórmula:  =PROCV( código ; B9:D16 ; nº da coluna ; FALSO )
2.  Para trazer o NOME, use a coluna 2.  Para o PREÇO, use a coluna 3.
3.  Repita para cada código da tabela amarela.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5" t="n"/>
      <c r="H10" s="24" t="n"/>
    </row>
    <row r="11" ht="14" customHeight="1">
      <c r="B11" s="26" t="n"/>
      <c r="C11" s="27" t="n"/>
      <c r="D11" s="27" t="n"/>
      <c r="E11" s="27" t="n"/>
      <c r="F11" s="27" t="n"/>
      <c r="G11" s="27" t="n"/>
      <c r="H11" s="28" t="n"/>
    </row>
    <row r="12" ht="22" customHeight="1">
      <c r="B12" s="84" t="inlineStr">
        <is>
          <t>Código</t>
        </is>
      </c>
      <c r="C12" s="85" t="inlineStr">
        <is>
          <t>Produto</t>
        </is>
      </c>
      <c r="D12" s="86" t="inlineStr">
        <is>
          <t>Preço (R$)</t>
        </is>
      </c>
    </row>
    <row r="13">
      <c r="B13" s="87" t="inlineStr">
        <is>
          <t>A01</t>
        </is>
      </c>
      <c r="C13" s="88" t="inlineStr">
        <is>
          <t>Teclado</t>
        </is>
      </c>
      <c r="D13" s="89" t="n">
        <v>75</v>
      </c>
    </row>
    <row r="14">
      <c r="B14" s="90" t="inlineStr">
        <is>
          <t>A02</t>
        </is>
      </c>
      <c r="C14" s="91" t="inlineStr">
        <is>
          <t>Mouse</t>
        </is>
      </c>
      <c r="D14" s="89" t="n">
        <v>45</v>
      </c>
    </row>
    <row r="15">
      <c r="B15" s="87" t="inlineStr">
        <is>
          <t>A03</t>
        </is>
      </c>
      <c r="C15" s="88" t="inlineStr">
        <is>
          <t>Monitor</t>
        </is>
      </c>
      <c r="D15" s="89" t="n">
        <v>800</v>
      </c>
    </row>
    <row r="16">
      <c r="B16" s="90" t="inlineStr">
        <is>
          <t>A04</t>
        </is>
      </c>
      <c r="C16" s="91" t="inlineStr">
        <is>
          <t>Webcam</t>
        </is>
      </c>
      <c r="D16" s="89" t="n">
        <v>120</v>
      </c>
    </row>
    <row r="17">
      <c r="B17" s="87" t="inlineStr">
        <is>
          <t>A05</t>
        </is>
      </c>
      <c r="C17" s="88" t="inlineStr">
        <is>
          <t>Headset</t>
        </is>
      </c>
      <c r="D17" s="89" t="n">
        <v>190</v>
      </c>
    </row>
    <row r="18">
      <c r="B18" s="90" t="inlineStr">
        <is>
          <t>A06</t>
        </is>
      </c>
      <c r="C18" s="91" t="inlineStr">
        <is>
          <t>Notebook</t>
        </is>
      </c>
      <c r="D18" s="89" t="n">
        <v>3200</v>
      </c>
    </row>
    <row r="19">
      <c r="B19" s="87" t="inlineStr">
        <is>
          <t>A07</t>
        </is>
      </c>
      <c r="C19" s="88" t="inlineStr">
        <is>
          <t>Impressora</t>
        </is>
      </c>
      <c r="D19" s="89" t="n">
        <v>650</v>
      </c>
    </row>
    <row r="20">
      <c r="B20" s="92" t="inlineStr">
        <is>
          <t>A08</t>
        </is>
      </c>
      <c r="C20" s="93" t="inlineStr">
        <is>
          <t>Pendrive</t>
        </is>
      </c>
      <c r="D20" s="94" t="n">
        <v>35</v>
      </c>
    </row>
    <row r="22" ht="22" customHeight="1">
      <c r="B22" s="95" t="inlineStr">
        <is>
          <t>Use o PROCV para preencher (amarelo)</t>
        </is>
      </c>
    </row>
    <row r="23">
      <c r="B23" s="84" t="inlineStr">
        <is>
          <t>Código buscado</t>
        </is>
      </c>
      <c r="C23" s="85" t="inlineStr">
        <is>
          <t>Nome (col 2)</t>
        </is>
      </c>
      <c r="D23" s="86" t="inlineStr">
        <is>
          <t>Preço (col 3)</t>
        </is>
      </c>
    </row>
    <row r="24">
      <c r="B24" s="96" t="inlineStr">
        <is>
          <t>A06</t>
        </is>
      </c>
      <c r="C24" s="97">
        <f>VLOOKUP(B24,$B$13:$D$20,2,FALSE)</f>
        <v/>
      </c>
      <c r="D24" s="98">
        <f>VLOOKUP(B24,$B$13:$D$20,3,FALSE)</f>
        <v/>
      </c>
    </row>
    <row r="25">
      <c r="B25" s="96" t="inlineStr">
        <is>
          <t>A01</t>
        </is>
      </c>
      <c r="C25" s="99" t="n"/>
      <c r="D25" s="100" t="n"/>
    </row>
    <row r="26">
      <c r="B26" s="101" t="inlineStr">
        <is>
          <t>A08</t>
        </is>
      </c>
      <c r="C26" s="102" t="n"/>
      <c r="D26" s="103" t="n"/>
    </row>
    <row r="28" ht="22" customHeight="1">
      <c r="B28" s="95" t="inlineStr">
        <is>
          <t>Confira sua resposta</t>
        </is>
      </c>
    </row>
    <row r="29" ht="20" customHeight="1">
      <c r="B29" s="104" t="inlineStr">
        <is>
          <t>a) Que produto o PROCV trouxe para o código A06?</t>
        </is>
      </c>
      <c r="C29" s="105" t="n"/>
      <c r="D29" s="105" t="n"/>
      <c r="E29" s="105" t="n"/>
      <c r="F29" s="105" t="n"/>
      <c r="G29" s="106" t="n"/>
      <c r="H29" s="107" t="n"/>
    </row>
    <row r="30" ht="20" customHeight="1">
      <c r="B30" s="108" t="inlineStr">
        <is>
          <t>b) Qual o preço do A01? (R$)</t>
        </is>
      </c>
      <c r="C30" s="35" t="n"/>
      <c r="D30" s="35" t="n"/>
      <c r="E30" s="35" t="n"/>
      <c r="F30" s="35" t="n"/>
      <c r="G30" s="109" t="n"/>
      <c r="H30" s="110" t="n"/>
    </row>
    <row r="31" ht="20" customHeight="1">
      <c r="B31" s="111" t="inlineStr">
        <is>
          <t>c) Qual produto é o código A08?</t>
        </is>
      </c>
      <c r="C31" s="112" t="n"/>
      <c r="D31" s="112" t="n"/>
      <c r="E31" s="112" t="n"/>
      <c r="F31" s="112" t="n"/>
      <c r="G31" s="113" t="n"/>
      <c r="H31" s="114" t="n"/>
    </row>
  </sheetData>
  <mergeCells count="10">
    <mergeCell ref="G29:H29"/>
    <mergeCell ref="B30:F30"/>
    <mergeCell ref="B29:F29"/>
    <mergeCell ref="G30:H30"/>
    <mergeCell ref="B6:H6"/>
    <mergeCell ref="B2:H2"/>
    <mergeCell ref="B31:F31"/>
    <mergeCell ref="G31:H31"/>
    <mergeCell ref="B3:H3"/>
    <mergeCell ref="B7:H11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3" customWidth="1" min="4" max="4"/>
    <col width="9" customWidth="1" min="5" max="5"/>
    <col width="15" customWidth="1" min="6" max="6"/>
    <col width="13" customWidth="1" min="7" max="7"/>
    <col width="13" customWidth="1" min="8" max="8"/>
  </cols>
  <sheetData>
    <row r="2" ht="30" customHeight="1">
      <c r="B2" s="115" t="inlineStr">
        <is>
          <t xml:space="preserve">  EXERCÍCIO 4 — NOTA DE COMPRA COM PROCV</t>
        </is>
      </c>
    </row>
    <row r="3" ht="16" customHeight="1">
      <c r="B3" s="116" t="inlineStr">
        <is>
          <t xml:space="preserve">  Aula 9: PROCV + cálculo juntos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117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118" t="inlineStr">
        <is>
          <t>Monte a nota de compra do cliente. Complete só as colunas amarelas (a 1ª linha já está resolvida como exemplo).
1.  Na coluna Produto e Preço, use PROCV para buscar na tabela de referência (logo abaixo).
2.  Na coluna Subtotal, multiplique Preço × Qtd.
3.  No fim, some todos os subtotais para achar o total do pedido.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5" t="n"/>
      <c r="H10" s="24" t="n"/>
    </row>
    <row r="11" ht="14" customHeight="1">
      <c r="B11" s="26" t="n"/>
      <c r="C11" s="27" t="n"/>
      <c r="D11" s="27" t="n"/>
      <c r="E11" s="27" t="n"/>
      <c r="F11" s="27" t="n"/>
      <c r="G11" s="27" t="n"/>
      <c r="H11" s="28" t="n"/>
    </row>
    <row r="12">
      <c r="B12" s="119" t="inlineStr">
        <is>
          <t>Tabela de preços (referência):</t>
        </is>
      </c>
    </row>
    <row r="13" ht="22" customHeight="1">
      <c r="B13" s="120" t="inlineStr">
        <is>
          <t>Cód</t>
        </is>
      </c>
      <c r="C13" s="121" t="inlineStr">
        <is>
          <t>Produto</t>
        </is>
      </c>
      <c r="D13" s="122" t="inlineStr">
        <is>
          <t>Preço (R$)</t>
        </is>
      </c>
    </row>
    <row r="14">
      <c r="B14" s="123" t="inlineStr">
        <is>
          <t>A01</t>
        </is>
      </c>
      <c r="C14" s="88" t="inlineStr">
        <is>
          <t>Teclado</t>
        </is>
      </c>
      <c r="D14" s="124" t="n">
        <v>75</v>
      </c>
    </row>
    <row r="15">
      <c r="B15" s="125" t="inlineStr">
        <is>
          <t>A02</t>
        </is>
      </c>
      <c r="C15" s="126" t="inlineStr">
        <is>
          <t>Mouse</t>
        </is>
      </c>
      <c r="D15" s="124" t="n">
        <v>45</v>
      </c>
    </row>
    <row r="16">
      <c r="B16" s="123" t="inlineStr">
        <is>
          <t>A03</t>
        </is>
      </c>
      <c r="C16" s="88" t="inlineStr">
        <is>
          <t>Monitor</t>
        </is>
      </c>
      <c r="D16" s="124" t="n">
        <v>800</v>
      </c>
    </row>
    <row r="17">
      <c r="B17" s="125" t="inlineStr">
        <is>
          <t>A04</t>
        </is>
      </c>
      <c r="C17" s="126" t="inlineStr">
        <is>
          <t>Webcam</t>
        </is>
      </c>
      <c r="D17" s="124" t="n">
        <v>120</v>
      </c>
    </row>
    <row r="18">
      <c r="B18" s="123" t="inlineStr">
        <is>
          <t>A05</t>
        </is>
      </c>
      <c r="C18" s="88" t="inlineStr">
        <is>
          <t>Headset</t>
        </is>
      </c>
      <c r="D18" s="124" t="n">
        <v>190</v>
      </c>
    </row>
    <row r="19">
      <c r="B19" s="125" t="inlineStr">
        <is>
          <t>A06</t>
        </is>
      </c>
      <c r="C19" s="126" t="inlineStr">
        <is>
          <t>Notebook</t>
        </is>
      </c>
      <c r="D19" s="124" t="n">
        <v>3200</v>
      </c>
    </row>
    <row r="20">
      <c r="B20" s="123" t="inlineStr">
        <is>
          <t>A07</t>
        </is>
      </c>
      <c r="C20" s="88" t="inlineStr">
        <is>
          <t>Impressora</t>
        </is>
      </c>
      <c r="D20" s="124" t="n">
        <v>650</v>
      </c>
    </row>
    <row r="21">
      <c r="B21" s="127" t="inlineStr">
        <is>
          <t>A08</t>
        </is>
      </c>
      <c r="C21" s="128" t="inlineStr">
        <is>
          <t>Pendrive</t>
        </is>
      </c>
      <c r="D21" s="129" t="n">
        <v>35</v>
      </c>
    </row>
    <row r="23" ht="22" customHeight="1">
      <c r="B23" s="130" t="inlineStr">
        <is>
          <t>Pedido do cliente — complete com PROCV e multiplicação</t>
        </is>
      </c>
    </row>
    <row r="24">
      <c r="B24" s="120" t="inlineStr">
        <is>
          <t>Cód</t>
        </is>
      </c>
      <c r="C24" s="121" t="inlineStr">
        <is>
          <t>Produto</t>
        </is>
      </c>
      <c r="D24" s="121" t="inlineStr">
        <is>
          <t>Preço</t>
        </is>
      </c>
      <c r="E24" s="121" t="inlineStr">
        <is>
          <t>Qtd</t>
        </is>
      </c>
      <c r="F24" s="122" t="inlineStr">
        <is>
          <t>Subtotal</t>
        </is>
      </c>
    </row>
    <row r="25">
      <c r="B25" s="131" t="inlineStr">
        <is>
          <t>A03</t>
        </is>
      </c>
      <c r="C25" s="132">
        <f>VLOOKUP(B25,$B$14:$D$21,2,FALSE)</f>
        <v/>
      </c>
      <c r="D25" s="133">
        <f>VLOOKUP(B25,$B$14:$D$21,3,FALSE)</f>
        <v/>
      </c>
      <c r="E25" s="134" t="n">
        <v>2</v>
      </c>
      <c r="F25" s="135">
        <f>D25*E25</f>
        <v/>
      </c>
    </row>
    <row r="26">
      <c r="B26" s="131" t="inlineStr">
        <is>
          <t>A06</t>
        </is>
      </c>
      <c r="C26" s="136" t="n"/>
      <c r="D26" s="137" t="n"/>
      <c r="E26" s="134" t="n">
        <v>1</v>
      </c>
      <c r="F26" s="138" t="n"/>
    </row>
    <row r="27">
      <c r="B27" s="131" t="inlineStr">
        <is>
          <t>A01</t>
        </is>
      </c>
      <c r="C27" s="136" t="n"/>
      <c r="D27" s="137" t="n"/>
      <c r="E27" s="134" t="n">
        <v>3</v>
      </c>
      <c r="F27" s="138" t="n"/>
    </row>
    <row r="28">
      <c r="B28" s="131" t="inlineStr">
        <is>
          <t>A08</t>
        </is>
      </c>
      <c r="C28" s="136" t="n"/>
      <c r="D28" s="137" t="n"/>
      <c r="E28" s="134" t="n">
        <v>5</v>
      </c>
      <c r="F28" s="138" t="n"/>
    </row>
    <row r="29">
      <c r="B29" s="131" t="inlineStr">
        <is>
          <t>A05</t>
        </is>
      </c>
      <c r="C29" s="136" t="n"/>
      <c r="D29" s="137" t="n"/>
      <c r="E29" s="134" t="n">
        <v>2</v>
      </c>
      <c r="F29" s="138" t="n"/>
    </row>
    <row r="30">
      <c r="B30" s="139" t="inlineStr">
        <is>
          <t>TOTAL DO PEDIDO (R$)  =SOMA(Subtotais)</t>
        </is>
      </c>
      <c r="C30" s="140" t="n"/>
      <c r="D30" s="140" t="n"/>
      <c r="E30" s="140" t="n"/>
      <c r="F30" s="141" t="n"/>
    </row>
    <row r="32" ht="22" customHeight="1">
      <c r="B32" s="130" t="inlineStr">
        <is>
          <t>Confira</t>
        </is>
      </c>
    </row>
    <row r="33" ht="20" customHeight="1">
      <c r="B33" s="142" t="inlineStr">
        <is>
          <t>a) Qual o produto mais caro do pedido?</t>
        </is>
      </c>
      <c r="C33" s="143" t="n"/>
      <c r="D33" s="143" t="n"/>
      <c r="E33" s="143" t="n"/>
      <c r="F33" s="143" t="n"/>
      <c r="G33" s="144" t="n"/>
      <c r="H33" s="145" t="n"/>
    </row>
    <row r="34" ht="20" customHeight="1">
      <c r="B34" s="146" t="inlineStr">
        <is>
          <t>b) Quantos itens no total (soma das Qtd)?</t>
        </is>
      </c>
      <c r="C34" s="35" t="n"/>
      <c r="D34" s="35" t="n"/>
      <c r="E34" s="35" t="n"/>
      <c r="F34" s="35" t="n"/>
      <c r="G34" s="147" t="n"/>
      <c r="H34" s="148" t="n"/>
    </row>
    <row r="35" ht="20" customHeight="1">
      <c r="B35" s="149" t="inlineStr">
        <is>
          <t>c) Qual o TOTAL do pedido? (R$)</t>
        </is>
      </c>
      <c r="C35" s="140" t="n"/>
      <c r="D35" s="140" t="n"/>
      <c r="E35" s="140" t="n"/>
      <c r="F35" s="140" t="n"/>
      <c r="G35" s="150" t="n"/>
      <c r="H35" s="151" t="n"/>
    </row>
  </sheetData>
  <mergeCells count="11">
    <mergeCell ref="G35:H35"/>
    <mergeCell ref="G34:H34"/>
    <mergeCell ref="B34:F34"/>
    <mergeCell ref="B33:F33"/>
    <mergeCell ref="G33:H33"/>
    <mergeCell ref="B30:E30"/>
    <mergeCell ref="B6:H6"/>
    <mergeCell ref="B2:H2"/>
    <mergeCell ref="B3:H3"/>
    <mergeCell ref="B7:H11"/>
    <mergeCell ref="B35:F35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26" customWidth="1" min="4" max="4"/>
    <col width="12" customWidth="1" min="5" max="5"/>
    <col width="16" customWidth="1" min="6" max="6"/>
    <col width="13" customWidth="1" min="7" max="7"/>
    <col width="13" customWidth="1" min="8" max="8"/>
  </cols>
  <sheetData>
    <row r="2" ht="30" customHeight="1">
      <c r="B2" s="152" t="inlineStr">
        <is>
          <t xml:space="preserve">  EXERCÍCIO 5 — EXTRAIR PARTES DO TEXTO</t>
        </is>
      </c>
    </row>
    <row r="3" ht="16" customHeight="1">
      <c r="B3" s="153" t="inlineStr">
        <is>
          <t xml:space="preserve">  Aula 10: ESQUERDA, DIREITA, NÚM.CARACT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154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155" t="inlineStr">
        <is>
          <t>1.  Cada função pega um pedaço do texto:
•  =ESQUERDA(texto ; n)  →  pega as n primeiras letras (do começo).
•  =DIREITA(texto ; n)  →  pega as n últimas letras (do fim).
•  =NÚM.CARACT(texto)  →  conta quantas letras o texto tem.
dica: complete a coluna amarela (a 1ª linha é exemplo).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5" t="n"/>
      <c r="H10" s="24" t="n"/>
    </row>
    <row r="11" ht="14" customHeight="1">
      <c r="B11" s="26" t="n"/>
      <c r="C11" s="27" t="n"/>
      <c r="D11" s="27" t="n"/>
      <c r="E11" s="27" t="n"/>
      <c r="F11" s="27" t="n"/>
      <c r="G11" s="27" t="n"/>
      <c r="H11" s="28" t="n"/>
    </row>
    <row r="12" ht="22" customHeight="1">
      <c r="B12" s="156" t="inlineStr">
        <is>
          <t>Nome</t>
        </is>
      </c>
      <c r="C12" s="157" t="inlineStr">
        <is>
          <t>Sobrenome</t>
        </is>
      </c>
      <c r="D12" s="157" t="inlineStr">
        <is>
          <t>E-mail</t>
        </is>
      </c>
      <c r="E12" s="157" t="inlineStr">
        <is>
          <t>Matrícula</t>
        </is>
      </c>
      <c r="F12" s="158" t="inlineStr">
        <is>
          <t>Nº de letras do Nome</t>
        </is>
      </c>
    </row>
    <row r="13">
      <c r="B13" s="159" t="inlineStr">
        <is>
          <t>MARIA</t>
        </is>
      </c>
      <c r="C13" s="88" t="inlineStr">
        <is>
          <t>Silva</t>
        </is>
      </c>
      <c r="D13" s="88" t="inlineStr">
        <is>
          <t>maria.silva@escola.br</t>
        </is>
      </c>
      <c r="E13" s="134" t="inlineStr">
        <is>
          <t>2024001</t>
        </is>
      </c>
      <c r="F13" s="160">
        <f>LEN(B13)</f>
        <v/>
      </c>
    </row>
    <row r="14">
      <c r="B14" s="161" t="inlineStr">
        <is>
          <t>joão</t>
        </is>
      </c>
      <c r="C14" s="162" t="inlineStr">
        <is>
          <t>Souza</t>
        </is>
      </c>
      <c r="D14" s="162" t="inlineStr">
        <is>
          <t>joao.souza@escola.br</t>
        </is>
      </c>
      <c r="E14" s="163" t="inlineStr">
        <is>
          <t>2024002</t>
        </is>
      </c>
      <c r="F14" s="164" t="n"/>
    </row>
    <row r="15">
      <c r="B15" s="159" t="inlineStr">
        <is>
          <t>Ana</t>
        </is>
      </c>
      <c r="C15" s="88" t="inlineStr">
        <is>
          <t>Costa</t>
        </is>
      </c>
      <c r="D15" s="88" t="inlineStr">
        <is>
          <t>ana.costa@escola.br</t>
        </is>
      </c>
      <c r="E15" s="134" t="inlineStr">
        <is>
          <t>2024003</t>
        </is>
      </c>
      <c r="F15" s="164" t="n"/>
    </row>
    <row r="16">
      <c r="B16" s="161" t="inlineStr">
        <is>
          <t>PEDRO</t>
        </is>
      </c>
      <c r="C16" s="162" t="inlineStr">
        <is>
          <t>Lima</t>
        </is>
      </c>
      <c r="D16" s="162" t="inlineStr">
        <is>
          <t>pedro.lima@escola.br</t>
        </is>
      </c>
      <c r="E16" s="163" t="inlineStr">
        <is>
          <t>2024004</t>
        </is>
      </c>
      <c r="F16" s="164" t="n"/>
    </row>
    <row r="17">
      <c r="B17" s="159" t="inlineStr">
        <is>
          <t>Lucas</t>
        </is>
      </c>
      <c r="C17" s="88" t="inlineStr">
        <is>
          <t>Alves</t>
        </is>
      </c>
      <c r="D17" s="88" t="inlineStr">
        <is>
          <t>lucas.alves@escola.br</t>
        </is>
      </c>
      <c r="E17" s="134" t="inlineStr">
        <is>
          <t>2024005</t>
        </is>
      </c>
      <c r="F17" s="164" t="n"/>
    </row>
    <row r="18">
      <c r="B18" s="165" t="inlineStr">
        <is>
          <t>bianca</t>
        </is>
      </c>
      <c r="C18" s="166" t="inlineStr">
        <is>
          <t>Rocha</t>
        </is>
      </c>
      <c r="D18" s="166" t="inlineStr">
        <is>
          <t>bianca.rocha@escola.br</t>
        </is>
      </c>
      <c r="E18" s="167" t="inlineStr">
        <is>
          <t>2024006</t>
        </is>
      </c>
      <c r="F18" s="168" t="n"/>
    </row>
    <row r="20" ht="22" customHeight="1">
      <c r="B20" s="169" t="inlineStr">
        <is>
          <t>Agora extraia (amarelo)</t>
        </is>
      </c>
    </row>
    <row r="21">
      <c r="B21" s="156" t="inlineStr">
        <is>
          <t>Fonte</t>
        </is>
      </c>
      <c r="C21" s="157" t="inlineStr">
        <is>
          <t>O que extrair</t>
        </is>
      </c>
      <c r="D21" s="157" t="inlineStr">
        <is>
          <t>Sua fórmula (dica)</t>
        </is>
      </c>
      <c r="E21" s="170" t="n"/>
      <c r="F21" s="158" t="inlineStr">
        <is>
          <t>Resultado</t>
        </is>
      </c>
    </row>
    <row r="22">
      <c r="B22" s="171" t="inlineStr">
        <is>
          <t>Matrícula E7</t>
        </is>
      </c>
      <c r="C22" s="36" t="inlineStr">
        <is>
          <t>O ANO (4 da esquerda)</t>
        </is>
      </c>
      <c r="D22" s="172" t="inlineStr">
        <is>
          <t>dica: =ESQUERDA(E7;4)</t>
        </is>
      </c>
      <c r="E22" s="35" t="n"/>
      <c r="F22" s="160">
        <f>LEFT(E13,4)</f>
        <v/>
      </c>
    </row>
    <row r="23">
      <c r="B23" s="171" t="inlineStr">
        <is>
          <t>Matrícula E7</t>
        </is>
      </c>
      <c r="C23" s="36" t="inlineStr">
        <is>
          <t>O Nº final (3 da direita)</t>
        </is>
      </c>
      <c r="D23" s="172" t="inlineStr">
        <is>
          <t>dica: =DIREITA(E7;3)</t>
        </is>
      </c>
      <c r="E23" s="35" t="n"/>
      <c r="F23" s="173" t="n"/>
    </row>
    <row r="24">
      <c r="B24" s="174" t="inlineStr">
        <is>
          <t>Nome B7</t>
        </is>
      </c>
      <c r="C24" s="175" t="inlineStr">
        <is>
          <t>Quantas letras tem</t>
        </is>
      </c>
      <c r="D24" s="176" t="inlineStr">
        <is>
          <t>dica: =NÚM.CARACT(B7)</t>
        </is>
      </c>
      <c r="E24" s="177" t="n"/>
      <c r="F24" s="178" t="n"/>
    </row>
    <row r="26" ht="22" customHeight="1">
      <c r="B26" s="169" t="inlineStr">
        <is>
          <t>Confira</t>
        </is>
      </c>
    </row>
    <row r="27" ht="20" customHeight="1">
      <c r="B27" s="179" t="inlineStr">
        <is>
          <t>a) Quantas letras tem o nome MARIA?</t>
        </is>
      </c>
      <c r="C27" s="180" t="n"/>
      <c r="D27" s="180" t="n"/>
      <c r="E27" s="180" t="n"/>
      <c r="F27" s="180" t="n"/>
      <c r="G27" s="181" t="n"/>
      <c r="H27" s="182" t="n"/>
    </row>
    <row r="28" ht="20" customHeight="1">
      <c r="B28" s="171" t="inlineStr">
        <is>
          <t>b) O ANO extraído da matrícula 2024001 é:</t>
        </is>
      </c>
      <c r="C28" s="35" t="n"/>
      <c r="D28" s="35" t="n"/>
      <c r="E28" s="35" t="n"/>
      <c r="F28" s="35" t="n"/>
      <c r="G28" s="183" t="n"/>
      <c r="H28" s="184" t="n"/>
    </row>
    <row r="29" ht="20" customHeight="1">
      <c r="B29" s="174" t="inlineStr">
        <is>
          <t>c) Os 3 números finais de 2024001 são:</t>
        </is>
      </c>
      <c r="C29" s="177" t="n"/>
      <c r="D29" s="177" t="n"/>
      <c r="E29" s="177" t="n"/>
      <c r="F29" s="177" t="n"/>
      <c r="G29" s="185" t="n"/>
      <c r="H29" s="186" t="n"/>
    </row>
  </sheetData>
  <mergeCells count="16">
    <mergeCell ref="G29:H29"/>
    <mergeCell ref="C23"/>
    <mergeCell ref="B29:F29"/>
    <mergeCell ref="D24:E24"/>
    <mergeCell ref="B28:F28"/>
    <mergeCell ref="D23:E23"/>
    <mergeCell ref="G27:H27"/>
    <mergeCell ref="B6:H6"/>
    <mergeCell ref="B2:H2"/>
    <mergeCell ref="C24"/>
    <mergeCell ref="D22:E22"/>
    <mergeCell ref="G28:H28"/>
    <mergeCell ref="B3:H3"/>
    <mergeCell ref="B7:H11"/>
    <mergeCell ref="C22"/>
    <mergeCell ref="B27:F27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</cols>
  <sheetData>
    <row r="2" ht="30" customHeight="1">
      <c r="B2" s="187" t="inlineStr">
        <is>
          <t xml:space="preserve">  EXERCÍCIO 6 — ARRUMAR TEXTO BAGUNÇADO</t>
        </is>
      </c>
    </row>
    <row r="3" ht="16" customHeight="1">
      <c r="B3" s="188" t="inlineStr">
        <is>
          <t xml:space="preserve">  Aula 10: MAIÚSCULA, MINÚSCULA, PRI.MAIÚSCULA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189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190" t="inlineStr">
        <is>
          <t>1.  Os nomes foram digitados de qualquer jeito. Conserte com estas 3 funções:
•  =MAIÚSCULA(texto)  →  deixa TUDO em maiúsculo.
•  =MINÚSCULA(texto)  →  deixa tudo em minúsculo.
•  =PRI.MAIÚSCULA(texto)  →  deixa Só A Primeira Letra De Cada Palavra.
dica: complete o amarelo (a 1ª linha é exemplo).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5" t="n"/>
      <c r="H10" s="24" t="n"/>
    </row>
    <row r="11" ht="14" customHeight="1">
      <c r="B11" s="26" t="n"/>
      <c r="C11" s="27" t="n"/>
      <c r="D11" s="27" t="n"/>
      <c r="E11" s="27" t="n"/>
      <c r="F11" s="27" t="n"/>
      <c r="G11" s="27" t="n"/>
      <c r="H11" s="28" t="n"/>
    </row>
    <row r="12" ht="22" customHeight="1">
      <c r="B12" s="191" t="inlineStr">
        <is>
          <t>Nome (bagunçado)</t>
        </is>
      </c>
      <c r="C12" s="192" t="inlineStr">
        <is>
          <t>TUDO MAIÚSCULO</t>
        </is>
      </c>
      <c r="D12" s="192" t="inlineStr">
        <is>
          <t>tudo minúsculo</t>
        </is>
      </c>
      <c r="E12" s="193" t="inlineStr">
        <is>
          <t>Primeira Maiúscula</t>
        </is>
      </c>
    </row>
    <row r="13">
      <c r="B13" s="194" t="inlineStr">
        <is>
          <t>MARIA</t>
        </is>
      </c>
      <c r="C13" s="195">
        <f>UPPER(B13)</f>
        <v/>
      </c>
      <c r="D13" s="195">
        <f>LOWER(B13)</f>
        <v/>
      </c>
      <c r="E13" s="196">
        <f>PROPER(B13)</f>
        <v/>
      </c>
    </row>
    <row r="14">
      <c r="B14" s="197" t="inlineStr">
        <is>
          <t>joão</t>
        </is>
      </c>
      <c r="C14" s="198" t="n"/>
      <c r="D14" s="198" t="n"/>
      <c r="E14" s="199" t="n"/>
    </row>
    <row r="15">
      <c r="B15" s="194" t="inlineStr">
        <is>
          <t>Ana</t>
        </is>
      </c>
      <c r="C15" s="198" t="n"/>
      <c r="D15" s="198" t="n"/>
      <c r="E15" s="199" t="n"/>
    </row>
    <row r="16">
      <c r="B16" s="197" t="inlineStr">
        <is>
          <t>PEDRO</t>
        </is>
      </c>
      <c r="C16" s="198" t="n"/>
      <c r="D16" s="198" t="n"/>
      <c r="E16" s="199" t="n"/>
    </row>
    <row r="17">
      <c r="B17" s="194" t="inlineStr">
        <is>
          <t>Lucas</t>
        </is>
      </c>
      <c r="C17" s="198" t="n"/>
      <c r="D17" s="198" t="n"/>
      <c r="E17" s="199" t="n"/>
    </row>
    <row r="18">
      <c r="B18" s="200" t="inlineStr">
        <is>
          <t>bianca</t>
        </is>
      </c>
      <c r="C18" s="201" t="n"/>
      <c r="D18" s="201" t="n"/>
      <c r="E18" s="202" t="n"/>
    </row>
    <row r="20" ht="22" customHeight="1">
      <c r="B20" s="203" t="inlineStr">
        <is>
          <t>Confira</t>
        </is>
      </c>
    </row>
    <row r="21" ht="20" customHeight="1">
      <c r="B21" s="204" t="inlineStr">
        <is>
          <t>a) "maria" em MAIÚSCULA fica:</t>
        </is>
      </c>
      <c r="C21" s="205" t="n"/>
      <c r="D21" s="205" t="n"/>
      <c r="E21" s="205" t="n"/>
      <c r="F21" s="205" t="n"/>
      <c r="G21" s="206" t="n"/>
      <c r="H21" s="207" t="n"/>
    </row>
    <row r="22" ht="20" customHeight="1">
      <c r="B22" s="208" t="inlineStr">
        <is>
          <t>b) "joão" com Primeira Maiúscula fica:</t>
        </is>
      </c>
      <c r="C22" s="35" t="n"/>
      <c r="D22" s="35" t="n"/>
      <c r="E22" s="35" t="n"/>
      <c r="F22" s="35" t="n"/>
      <c r="G22" s="209" t="n"/>
      <c r="H22" s="210" t="n"/>
    </row>
    <row r="23" ht="20" customHeight="1">
      <c r="B23" s="211" t="inlineStr">
        <is>
          <t>c) Qual função deixa tudo minúsculo?</t>
        </is>
      </c>
      <c r="C23" s="212" t="n"/>
      <c r="D23" s="212" t="n"/>
      <c r="E23" s="212" t="n"/>
      <c r="F23" s="212" t="n"/>
      <c r="G23" s="213" t="n"/>
      <c r="H23" s="214" t="n"/>
    </row>
  </sheetData>
  <mergeCells count="10">
    <mergeCell ref="B21:F21"/>
    <mergeCell ref="G21:H21"/>
    <mergeCell ref="B6:H6"/>
    <mergeCell ref="B2:H2"/>
    <mergeCell ref="B23:F23"/>
    <mergeCell ref="G23:H23"/>
    <mergeCell ref="B22:F22"/>
    <mergeCell ref="G22:H22"/>
    <mergeCell ref="B3:H3"/>
    <mergeCell ref="B7:H11"/>
  </mergeCells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30" customHeight="1">
      <c r="B2" s="215" t="inlineStr">
        <is>
          <t xml:space="preserve">  EXERCÍCIO 7 — GRÁFICO COM 2 EIXOS</t>
        </is>
      </c>
    </row>
    <row r="3" ht="16" customHeight="1">
      <c r="B3" s="216" t="inlineStr">
        <is>
          <t xml:space="preserve">  Aula 11: juntar dados de escalas diferentes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217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218" t="inlineStr">
        <is>
          <t>Temperatura (~30) e Sorvetes (~500) têm tamanhos muito diferentes; num gráfico só, um some. A solução é o EIXO SECUNDÁRIO — cada série ganha sua própria escala:
1.  Selecione a tabela inteira e crie um gráfico de Colunas.
2.  Clique na série "Temperatura" (a bem baixinha) &gt; botão direito &gt; Formatar Série de Dados.
3.  Marque a opção "Eixo Secundário".
4.  Ainda nela: botão direito &gt; Alterar Tipo de Gráfico da Série &gt; escolha Linha.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5" t="n"/>
      <c r="H10" s="24" t="n"/>
    </row>
    <row r="11" ht="14" customHeight="1">
      <c r="B11" s="25" t="n"/>
      <c r="H11" s="24" t="n"/>
    </row>
    <row r="12" ht="14" customHeight="1">
      <c r="B12" s="26" t="n"/>
      <c r="C12" s="27" t="n"/>
      <c r="D12" s="27" t="n"/>
      <c r="E12" s="27" t="n"/>
      <c r="F12" s="27" t="n"/>
      <c r="G12" s="27" t="n"/>
      <c r="H12" s="28" t="n"/>
    </row>
    <row r="13" ht="22" customHeight="1">
      <c r="B13" s="219" t="inlineStr">
        <is>
          <t>Mês</t>
        </is>
      </c>
      <c r="C13" s="220" t="inlineStr">
        <is>
          <t>Temperatura (°C)</t>
        </is>
      </c>
      <c r="D13" s="221" t="inlineStr">
        <is>
          <t>Sorvetes vendidos</t>
        </is>
      </c>
    </row>
    <row r="14">
      <c r="B14" s="222" t="inlineStr">
        <is>
          <t>Janeiro</t>
        </is>
      </c>
      <c r="C14" s="134" t="n">
        <v>32</v>
      </c>
      <c r="D14" s="223" t="n">
        <v>480</v>
      </c>
    </row>
    <row r="15">
      <c r="B15" s="224" t="inlineStr">
        <is>
          <t>Fevereiro</t>
        </is>
      </c>
      <c r="C15" s="225" t="n">
        <v>33</v>
      </c>
      <c r="D15" s="226" t="n">
        <v>510</v>
      </c>
    </row>
    <row r="16">
      <c r="B16" s="222" t="inlineStr">
        <is>
          <t>Março</t>
        </is>
      </c>
      <c r="C16" s="134" t="n">
        <v>30</v>
      </c>
      <c r="D16" s="223" t="n">
        <v>430</v>
      </c>
    </row>
    <row r="17">
      <c r="B17" s="224" t="inlineStr">
        <is>
          <t>Abril</t>
        </is>
      </c>
      <c r="C17" s="225" t="n">
        <v>27</v>
      </c>
      <c r="D17" s="226" t="n">
        <v>350</v>
      </c>
    </row>
    <row r="18">
      <c r="B18" s="222" t="inlineStr">
        <is>
          <t>Maio</t>
        </is>
      </c>
      <c r="C18" s="134" t="n">
        <v>24</v>
      </c>
      <c r="D18" s="223" t="n">
        <v>260</v>
      </c>
    </row>
    <row r="19">
      <c r="B19" s="224" t="inlineStr">
        <is>
          <t>Junho</t>
        </is>
      </c>
      <c r="C19" s="225" t="n">
        <v>21</v>
      </c>
      <c r="D19" s="226" t="n">
        <v>180</v>
      </c>
    </row>
    <row r="20">
      <c r="B20" s="222" t="inlineStr">
        <is>
          <t>Julho</t>
        </is>
      </c>
      <c r="C20" s="134" t="n">
        <v>20</v>
      </c>
      <c r="D20" s="223" t="n">
        <v>150</v>
      </c>
    </row>
    <row r="21">
      <c r="B21" s="224" t="inlineStr">
        <is>
          <t>Agosto</t>
        </is>
      </c>
      <c r="C21" s="225" t="n">
        <v>22</v>
      </c>
      <c r="D21" s="226" t="n">
        <v>200</v>
      </c>
    </row>
    <row r="22">
      <c r="B22" s="222" t="inlineStr">
        <is>
          <t>Setembro</t>
        </is>
      </c>
      <c r="C22" s="134" t="n">
        <v>25</v>
      </c>
      <c r="D22" s="223" t="n">
        <v>300</v>
      </c>
    </row>
    <row r="23">
      <c r="B23" s="224" t="inlineStr">
        <is>
          <t>Outubro</t>
        </is>
      </c>
      <c r="C23" s="225" t="n">
        <v>28</v>
      </c>
      <c r="D23" s="226" t="n">
        <v>380</v>
      </c>
    </row>
    <row r="24">
      <c r="B24" s="222" t="inlineStr">
        <is>
          <t>Novembro</t>
        </is>
      </c>
      <c r="C24" s="134" t="n">
        <v>30</v>
      </c>
      <c r="D24" s="223" t="n">
        <v>450</v>
      </c>
    </row>
    <row r="25">
      <c r="B25" s="227" t="inlineStr">
        <is>
          <t>Dezembro</t>
        </is>
      </c>
      <c r="C25" s="228" t="n">
        <v>33</v>
      </c>
      <c r="D25" s="229" t="n">
        <v>520</v>
      </c>
    </row>
    <row r="27" ht="22" customHeight="1">
      <c r="B27" s="230" t="inlineStr">
        <is>
          <t>Leia o gráfico e responda</t>
        </is>
      </c>
    </row>
    <row r="28" ht="20" customHeight="1">
      <c r="B28" s="231" t="inlineStr">
        <is>
          <t>a) Quando a temperatura sobe, a venda de sorvete sobe ou desce?</t>
        </is>
      </c>
      <c r="C28" s="232" t="n"/>
      <c r="D28" s="232" t="n"/>
      <c r="E28" s="232" t="n"/>
      <c r="F28" s="232" t="n"/>
      <c r="G28" s="233" t="n"/>
      <c r="H28" s="234" t="n"/>
    </row>
    <row r="29" ht="20" customHeight="1">
      <c r="B29" s="235" t="inlineStr">
        <is>
          <t>b) Em qual mês vendeu MAIS sorvete?</t>
        </is>
      </c>
      <c r="C29" s="35" t="n"/>
      <c r="D29" s="35" t="n"/>
      <c r="E29" s="35" t="n"/>
      <c r="F29" s="35" t="n"/>
      <c r="G29" s="236" t="n"/>
      <c r="H29" s="237" t="n"/>
    </row>
    <row r="30" ht="20" customHeight="1">
      <c r="B30" s="238" t="inlineStr">
        <is>
          <t>c) Em qual mês a temperatura foi a MENOR?</t>
        </is>
      </c>
      <c r="C30" s="239" t="n"/>
      <c r="D30" s="239" t="n"/>
      <c r="E30" s="239" t="n"/>
      <c r="F30" s="239" t="n"/>
      <c r="G30" s="240" t="n"/>
      <c r="H30" s="241" t="n"/>
    </row>
  </sheetData>
  <mergeCells count="10">
    <mergeCell ref="G29:H29"/>
    <mergeCell ref="B30:F30"/>
    <mergeCell ref="B29:F29"/>
    <mergeCell ref="G30:H30"/>
    <mergeCell ref="B28:F28"/>
    <mergeCell ref="B6:H6"/>
    <mergeCell ref="B2:H2"/>
    <mergeCell ref="G28:H28"/>
    <mergeCell ref="B7:H12"/>
    <mergeCell ref="B3:H3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30" customHeight="1">
      <c r="B2" s="242" t="inlineStr">
        <is>
          <t xml:space="preserve">  EXERCÍCIO 8 — GRÁFICO DE DISPERSÃO</t>
        </is>
      </c>
    </row>
    <row r="3" ht="16" customHeight="1">
      <c r="B3" s="243" t="inlineStr">
        <is>
          <t xml:space="preserve">  Aula 11: relação entre duas coisas (X × Y)</t>
        </is>
      </c>
    </row>
    <row r="4">
      <c r="B4" s="3" t="inlineStr">
        <is>
          <t>Aluno(a): ______________________________   Turma: ________   Nº: ____</t>
        </is>
      </c>
    </row>
    <row r="6" ht="17" customHeight="1">
      <c r="B6" s="244" t="inlineStr">
        <is>
          <t xml:space="preserve">  COMO FAZER  (siga na ordem)</t>
        </is>
      </c>
      <c r="C6" s="21" t="n"/>
      <c r="D6" s="21" t="n"/>
      <c r="E6" s="21" t="n"/>
      <c r="F6" s="21" t="n"/>
      <c r="G6" s="21" t="n"/>
      <c r="H6" s="22" t="n"/>
    </row>
    <row r="7" ht="14" customHeight="1">
      <c r="B7" s="245" t="inlineStr">
        <is>
          <t>A dispersão mostra se duas coisas TÊM RELAÇÃO. Aqui: horas de estudo (X) e nota (Y). Cada aluno vira um pontinho no gráfico.
1.  Selecione as duas colunas de números (Horas e Nota).
2.  Vá em INSERIR &gt; Gráficos &gt; Dispersão (o primeiro modelo).
3.  Botão direito em cima de um ponto &gt; Adicionar Linha de Tendência (mostra o rumo geral).</t>
        </is>
      </c>
      <c r="H7" s="24" t="n"/>
    </row>
    <row r="8" ht="14" customHeight="1">
      <c r="B8" s="25" t="n"/>
      <c r="H8" s="24" t="n"/>
    </row>
    <row r="9" ht="14" customHeight="1">
      <c r="B9" s="25" t="n"/>
      <c r="H9" s="24" t="n"/>
    </row>
    <row r="10" ht="14" customHeight="1">
      <c r="B10" s="25" t="n"/>
      <c r="H10" s="24" t="n"/>
    </row>
    <row r="11" ht="14" customHeight="1">
      <c r="B11" s="26" t="n"/>
      <c r="C11" s="27" t="n"/>
      <c r="D11" s="27" t="n"/>
      <c r="E11" s="27" t="n"/>
      <c r="F11" s="27" t="n"/>
      <c r="G11" s="27" t="n"/>
      <c r="H11" s="28" t="n"/>
    </row>
    <row r="12" ht="22" customHeight="1">
      <c r="B12" s="246" t="inlineStr">
        <is>
          <t>Horas de estudo</t>
        </is>
      </c>
      <c r="C12" s="247" t="inlineStr">
        <is>
          <t>Nota na prova</t>
        </is>
      </c>
    </row>
    <row r="13">
      <c r="B13" s="248" t="n">
        <v>1</v>
      </c>
      <c r="C13" s="249" t="n">
        <v>4</v>
      </c>
    </row>
    <row r="14">
      <c r="B14" s="250" t="n">
        <v>2</v>
      </c>
      <c r="C14" s="251" t="n">
        <v>5</v>
      </c>
    </row>
    <row r="15">
      <c r="B15" s="248" t="n">
        <v>2</v>
      </c>
      <c r="C15" s="249" t="n">
        <v>5.5</v>
      </c>
    </row>
    <row r="16">
      <c r="B16" s="250" t="n">
        <v>3</v>
      </c>
      <c r="C16" s="251" t="n">
        <v>6</v>
      </c>
    </row>
    <row r="17">
      <c r="B17" s="248" t="n">
        <v>4</v>
      </c>
      <c r="C17" s="249" t="n">
        <v>6.5</v>
      </c>
    </row>
    <row r="18">
      <c r="B18" s="250" t="n">
        <v>4</v>
      </c>
      <c r="C18" s="251" t="n">
        <v>7</v>
      </c>
    </row>
    <row r="19">
      <c r="B19" s="248" t="n">
        <v>5</v>
      </c>
      <c r="C19" s="249" t="n">
        <v>7.5</v>
      </c>
    </row>
    <row r="20">
      <c r="B20" s="250" t="n">
        <v>6</v>
      </c>
      <c r="C20" s="251" t="n">
        <v>8</v>
      </c>
    </row>
    <row r="21">
      <c r="B21" s="248" t="n">
        <v>7</v>
      </c>
      <c r="C21" s="249" t="n">
        <v>8.5</v>
      </c>
    </row>
    <row r="22">
      <c r="B22" s="252" t="n">
        <v>8</v>
      </c>
      <c r="C22" s="253" t="n">
        <v>9.5</v>
      </c>
    </row>
    <row r="24" ht="22" customHeight="1">
      <c r="B24" s="254" t="inlineStr">
        <is>
          <t>Analise a nuvem de pontos e responda</t>
        </is>
      </c>
    </row>
    <row r="25" ht="20" customHeight="1">
      <c r="B25" s="255" t="inlineStr">
        <is>
          <t>a) Os pontos sobem da esquerda p/ direita ou descem?</t>
        </is>
      </c>
      <c r="C25" s="256" t="n"/>
      <c r="D25" s="256" t="n"/>
      <c r="E25" s="256" t="n"/>
      <c r="F25" s="256" t="n"/>
      <c r="G25" s="257" t="n"/>
      <c r="H25" s="258" t="n"/>
    </row>
    <row r="26" ht="20" customHeight="1">
      <c r="B26" s="259" t="inlineStr">
        <is>
          <t>b) Então a relação é POSITIVA ou NEGATIVA?</t>
        </is>
      </c>
      <c r="C26" s="35" t="n"/>
      <c r="D26" s="35" t="n"/>
      <c r="E26" s="35" t="n"/>
      <c r="F26" s="35" t="n"/>
      <c r="G26" s="260" t="n"/>
      <c r="H26" s="261" t="n"/>
    </row>
    <row r="27" ht="20" customHeight="1">
      <c r="B27" s="262" t="inlineStr">
        <is>
          <t>c) Quem estuda mais tende a tirar nota maior? (sim/não)</t>
        </is>
      </c>
      <c r="C27" s="263" t="n"/>
      <c r="D27" s="263" t="n"/>
      <c r="E27" s="263" t="n"/>
      <c r="F27" s="263" t="n"/>
      <c r="G27" s="264" t="n"/>
      <c r="H27" s="265" t="n"/>
    </row>
  </sheetData>
  <mergeCells count="10">
    <mergeCell ref="B25:F25"/>
    <mergeCell ref="G25:H25"/>
    <mergeCell ref="G27:H27"/>
    <mergeCell ref="B6:H6"/>
    <mergeCell ref="B2:H2"/>
    <mergeCell ref="B3:H3"/>
    <mergeCell ref="B7:H11"/>
    <mergeCell ref="B26:F26"/>
    <mergeCell ref="G26:H26"/>
    <mergeCell ref="B27:F27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2026-08-01T02:00:57Z</dcterms:created>
  <dcterms:modified xmlns:dcterms="http://purl.org/dc/terms/" xmlns:xsi="http://www.w3.org/2001/XMLSchema-instance" xsi:type="dcterms:W3CDTF">2026-08-01T02:00:57Z</dcterms:modified>
</cp:coreProperties>
</file>